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38164-2026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46315</v>
      </c>
      <c r="F7" t="inlineStr">
        <is>
          <t>SKÅNE LÄN</t>
        </is>
      </c>
      <c r="G7" t="inlineStr">
        <is>
          <t>BROMÖLLA</t>
        </is>
      </c>
      <c r="I7" t="n">
        <v>6.9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Entita
Spillkråka</t>
        </is>
      </c>
      <c r="W7">
        <f>HYPERLINK("https://klasma.github.io/Logging_1272/artfynd/A 38164-2026 artfynd.xlsx", "A 38164-2026")</f>
        <v/>
      </c>
      <c r="X7">
        <f>HYPERLINK("https://klasma.github.io/Logging_1272/kartor/A 38164-2026 karta.png", "A 38164-2026")</f>
        <v/>
      </c>
      <c r="Y7">
        <f>HYPERLINK("https://klasma.github.io/Logging_1272/kartor_geotiff/A 38164-2026 georefererad karta.tif", "A 38164-2026")</f>
        <v/>
      </c>
      <c r="AA7">
        <f>HYPERLINK("https://klasma.github.io/Logging_1272/klagomål/A 38164-2026 FSC-klagomål.docx", "A 38164-2026")</f>
        <v/>
      </c>
      <c r="AB7">
        <f>HYPERLINK("https://klasma.github.io/Logging_1272/klagomålsmail/A 38164-2026 FSC-klagomål mail.docx", "A 38164-2026")</f>
        <v/>
      </c>
      <c r="AC7">
        <f>HYPERLINK("https://klasma.github.io/Logging_1272/tillsyn/A 38164-2026 tillsynsbegäran.docx", "A 38164-2026")</f>
        <v/>
      </c>
      <c r="AD7">
        <f>HYPERLINK("https://klasma.github.io/Logging_1272/tillsynsmail/A 38164-2026 tillsynsbegäran mail.docx", "A 38164-2026")</f>
        <v/>
      </c>
      <c r="AE7">
        <f>HYPERLINK("https://klasma.github.io/Logging_1272/fåglar/A 38164-2026 prioriterade fågelarter.docx", "A 38164-2026")</f>
        <v/>
      </c>
    </row>
    <row r="8" ht="15" customHeight="1">
      <c r="A8" t="inlineStr">
        <is>
          <t>A 20426-2023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45056</v>
      </c>
      <c r="E8" s="1" t="n">
        <v>46315</v>
      </c>
      <c r="F8" t="inlineStr">
        <is>
          <t>SKÅNE LÄN</t>
        </is>
      </c>
      <c r="G8" t="inlineStr">
        <is>
          <t>BROMÖLLA</t>
        </is>
      </c>
      <c r="I8" t="n">
        <v>5.2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Bokvårtlav
Hålnunneört</t>
        </is>
      </c>
      <c r="W8">
        <f>HYPERLINK("https://klasma.github.io/Logging_1272/artfynd/A 20426-2023 artfynd.xlsx", "A 20426-2023")</f>
        <v/>
      </c>
      <c r="X8">
        <f>HYPERLINK("https://klasma.github.io/Logging_1272/kartor/A 20426-2023 karta.png", "A 20426-2023")</f>
        <v/>
      </c>
      <c r="Y8">
        <f>HYPERLINK("https://klasma.github.io/Logging_1272/kartor_geotiff/A 20426-2023 georefererad karta.tif", "A 20426-2023")</f>
        <v/>
      </c>
      <c r="AA8">
        <f>HYPERLINK("https://klasma.github.io/Logging_1272/klagomål/A 20426-2023 FSC-klagomål.docx", "A 20426-2023")</f>
        <v/>
      </c>
      <c r="AB8">
        <f>HYPERLINK("https://klasma.github.io/Logging_1272/klagomålsmail/A 20426-2023 FSC-klagomål mail.docx", "A 20426-2023")</f>
        <v/>
      </c>
      <c r="AC8">
        <f>HYPERLINK("https://klasma.github.io/Logging_1272/tillsyn/A 20426-2023 tillsynsbegäran.docx", "A 20426-2023")</f>
        <v/>
      </c>
      <c r="AD8">
        <f>HYPERLINK("https://klasma.github.io/Logging_1272/tillsynsmail/A 20426-2023 tillsynsbegäran mail.docx", "A 20426-2023")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46315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46315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46315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46315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46315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46315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46315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46315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17522-2026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46315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Sminkrot</t>
        </is>
      </c>
      <c r="W17">
        <f>HYPERLINK("https://klasma.github.io/Logging_1272/artfynd/A 17522-2026 artfynd.xlsx", "A 17522-2026")</f>
        <v/>
      </c>
      <c r="X17">
        <f>HYPERLINK("https://klasma.github.io/Logging_1272/kartor/A 17522-2026 karta.png", "A 17522-2026")</f>
        <v/>
      </c>
      <c r="Y17">
        <f>HYPERLINK("https://klasma.github.io/Logging_1272/kartor_geotiff/A 17522-2026 georefererad karta.tif", "A 17522-2026")</f>
        <v/>
      </c>
      <c r="AA17">
        <f>HYPERLINK("https://klasma.github.io/Logging_1272/klagomål/A 17522-2026 FSC-klagomål.docx", "A 17522-2026")</f>
        <v/>
      </c>
      <c r="AB17">
        <f>HYPERLINK("https://klasma.github.io/Logging_1272/klagomålsmail/A 17522-2026 FSC-klagomål mail.docx", "A 17522-2026")</f>
        <v/>
      </c>
      <c r="AC17">
        <f>HYPERLINK("https://klasma.github.io/Logging_1272/tillsyn/A 17522-2026 tillsynsbegäran.docx", "A 17522-2026")</f>
        <v/>
      </c>
      <c r="AD17">
        <f>HYPERLINK("https://klasma.github.io/Logging_1272/tillsynsmail/A 17522-2026 tillsynsbegäran mail.docx", "A 17522-2026")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46315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46315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46315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46315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46315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46315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46315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46315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46315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46315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46315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46315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46315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46315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46315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46315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46315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46315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46315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49831-2022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46315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34216-2023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46315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42912-2024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46315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61701-2022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44911</v>
      </c>
      <c r="E40" s="1" t="n">
        <v>46315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46315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45299</v>
      </c>
      <c r="E42" s="1" t="n">
        <v>46315</v>
      </c>
      <c r="F42" t="inlineStr">
        <is>
          <t>SKÅNE LÄN</t>
        </is>
      </c>
      <c r="G42" t="inlineStr">
        <is>
          <t>BROMÖLLA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45674</v>
      </c>
      <c r="E43" s="1" t="n">
        <v>46315</v>
      </c>
      <c r="F43" t="inlineStr">
        <is>
          <t>SKÅNE LÄN</t>
        </is>
      </c>
      <c r="G43" t="inlineStr">
        <is>
          <t>BROMÖLLA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45674</v>
      </c>
      <c r="E44" s="1" t="n">
        <v>46315</v>
      </c>
      <c r="F44" t="inlineStr">
        <is>
          <t>SKÅNE LÄN</t>
        </is>
      </c>
      <c r="G44" t="inlineStr">
        <is>
          <t>BROMÖLLA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45033</v>
      </c>
      <c r="E45" s="1" t="n">
        <v>46315</v>
      </c>
      <c r="F45" t="inlineStr">
        <is>
          <t>SKÅNE LÄN</t>
        </is>
      </c>
      <c r="G45" t="inlineStr">
        <is>
          <t>BROMÖLLA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41253-2023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46315</v>
      </c>
      <c r="F46" t="inlineStr">
        <is>
          <t>SKÅNE LÄN</t>
        </is>
      </c>
      <c r="G46" t="inlineStr">
        <is>
          <t>BROMÖLLA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46315</v>
      </c>
      <c r="F47" t="inlineStr">
        <is>
          <t>SKÅNE LÄN</t>
        </is>
      </c>
      <c r="G47" t="inlineStr">
        <is>
          <t>BROMÖLLA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45217</v>
      </c>
      <c r="E48" s="1" t="n">
        <v>46315</v>
      </c>
      <c r="F48" t="inlineStr">
        <is>
          <t>SKÅNE LÄN</t>
        </is>
      </c>
      <c r="G48" t="inlineStr">
        <is>
          <t>BROMÖLLA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30089-2023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46315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46733-2023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45195</v>
      </c>
      <c r="E50" s="1" t="n">
        <v>46315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56360-2023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46315</v>
      </c>
      <c r="F51" t="inlineStr">
        <is>
          <t>SKÅNE LÄN</t>
        </is>
      </c>
      <c r="G51" t="inlineStr">
        <is>
          <t>BROMÖLLA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30075-2023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46315</v>
      </c>
      <c r="F52" t="inlineStr">
        <is>
          <t>SKÅNE LÄN</t>
        </is>
      </c>
      <c r="G52" t="inlineStr">
        <is>
          <t>BROMÖLLA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46315</v>
      </c>
      <c r="F53" t="inlineStr">
        <is>
          <t>SKÅNE LÄN</t>
        </is>
      </c>
      <c r="G53" t="inlineStr">
        <is>
          <t>BROMÖLLA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21980-2023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46315</v>
      </c>
      <c r="F54" t="inlineStr">
        <is>
          <t>SKÅNE LÄN</t>
        </is>
      </c>
      <c r="G54" t="inlineStr">
        <is>
          <t>BROMÖLLA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39455-2024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45551</v>
      </c>
      <c r="E55" s="1" t="n">
        <v>46315</v>
      </c>
      <c r="F55" t="inlineStr">
        <is>
          <t>SKÅNE LÄN</t>
        </is>
      </c>
      <c r="G55" t="inlineStr">
        <is>
          <t>BROMÖLLA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46315</v>
      </c>
      <c r="F56" t="inlineStr">
        <is>
          <t>SKÅNE LÄN</t>
        </is>
      </c>
      <c r="G56" t="inlineStr">
        <is>
          <t>BROMÖLLA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46315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45235</v>
      </c>
      <c r="E58" s="1" t="n">
        <v>46315</v>
      </c>
      <c r="F58" t="inlineStr">
        <is>
          <t>SKÅNE LÄN</t>
        </is>
      </c>
      <c r="G58" t="inlineStr">
        <is>
          <t>BROMÖLLA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46315</v>
      </c>
      <c r="F59" t="inlineStr">
        <is>
          <t>SKÅNE LÄN</t>
        </is>
      </c>
      <c r="G59" t="inlineStr">
        <is>
          <t>BROMÖLLA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42748-2022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44831</v>
      </c>
      <c r="E60" s="1" t="n">
        <v>46315</v>
      </c>
      <c r="F60" t="inlineStr">
        <is>
          <t>SKÅNE LÄN</t>
        </is>
      </c>
      <c r="G60" t="inlineStr">
        <is>
          <t>BROMÖLLA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46315</v>
      </c>
      <c r="F61" t="inlineStr">
        <is>
          <t>SKÅNE LÄN</t>
        </is>
      </c>
      <c r="G61" t="inlineStr">
        <is>
          <t>BROMÖLLA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45889</v>
      </c>
      <c r="E62" s="1" t="n">
        <v>46315</v>
      </c>
      <c r="F62" t="inlineStr">
        <is>
          <t>SKÅNE LÄN</t>
        </is>
      </c>
      <c r="G62" t="inlineStr">
        <is>
          <t>BROMÖLLA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46315</v>
      </c>
      <c r="F63" t="inlineStr">
        <is>
          <t>SKÅNE LÄN</t>
        </is>
      </c>
      <c r="G63" t="inlineStr">
        <is>
          <t>BROMÖLLA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45993</v>
      </c>
      <c r="E64" s="1" t="n">
        <v>46315</v>
      </c>
      <c r="F64" t="inlineStr">
        <is>
          <t>SKÅNE LÄN</t>
        </is>
      </c>
      <c r="G64" t="inlineStr">
        <is>
          <t>BROMÖLLA</t>
        </is>
      </c>
      <c r="H64" t="inlineStr">
        <is>
          <t>Kyrkan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46315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46315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46315</v>
      </c>
      <c r="F67" t="inlineStr">
        <is>
          <t>SKÅNE LÄN</t>
        </is>
      </c>
      <c r="G67" t="inlineStr">
        <is>
          <t>BROMÖLLA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46315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40719-2022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44824</v>
      </c>
      <c r="E69" s="1" t="n">
        <v>46315</v>
      </c>
      <c r="F69" t="inlineStr">
        <is>
          <t>SKÅNE LÄN</t>
        </is>
      </c>
      <c r="G69" t="inlineStr">
        <is>
          <t>BROMÖLLA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46315</v>
      </c>
      <c r="F70" t="inlineStr">
        <is>
          <t>SKÅNE LÄN</t>
        </is>
      </c>
      <c r="G70" t="inlineStr">
        <is>
          <t>BROMÖLLA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56056-2023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45233</v>
      </c>
      <c r="E71" s="1" t="n">
        <v>46315</v>
      </c>
      <c r="F71" t="inlineStr">
        <is>
          <t>SKÅNE LÄN</t>
        </is>
      </c>
      <c r="G71" t="inlineStr">
        <is>
          <t>BROMÖLLA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46064</v>
      </c>
      <c r="E72" s="1" t="n">
        <v>46315</v>
      </c>
      <c r="F72" t="inlineStr">
        <is>
          <t>SKÅNE LÄN</t>
        </is>
      </c>
      <c r="G72" t="inlineStr">
        <is>
          <t>BROMÖLLA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46315</v>
      </c>
      <c r="F73" t="inlineStr">
        <is>
          <t>SKÅNE LÄN</t>
        </is>
      </c>
      <c r="G73" t="inlineStr">
        <is>
          <t>BROMÖLLA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46315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46315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46315</v>
      </c>
      <c r="F76" t="inlineStr">
        <is>
          <t>SKÅNE LÄN</t>
        </is>
      </c>
      <c r="G76" t="inlineStr">
        <is>
          <t>BROMÖLLA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46315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46315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44804</v>
      </c>
      <c r="E79" s="1" t="n">
        <v>46315</v>
      </c>
      <c r="F79" t="inlineStr">
        <is>
          <t>SKÅNE LÄN</t>
        </is>
      </c>
      <c r="G79" t="inlineStr">
        <is>
          <t>BROMÖLLA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28129-2026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46315</v>
      </c>
      <c r="F80" t="inlineStr">
        <is>
          <t>SKÅNE LÄN</t>
        </is>
      </c>
      <c r="G80" t="inlineStr">
        <is>
          <t>BROMÖLLA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46136</v>
      </c>
      <c r="E81" s="1" t="n">
        <v>46315</v>
      </c>
      <c r="F81" t="inlineStr">
        <is>
          <t>SKÅNE LÄN</t>
        </is>
      </c>
      <c r="G81" t="inlineStr">
        <is>
          <t>BROMÖLLA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51078-2025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45947</v>
      </c>
      <c r="E82" s="1" t="n">
        <v>46315</v>
      </c>
      <c r="F82" t="inlineStr">
        <is>
          <t>SKÅNE LÄN</t>
        </is>
      </c>
      <c r="G82" t="inlineStr">
        <is>
          <t>BROMÖLLA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32272-2024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45512</v>
      </c>
      <c r="E83" s="1" t="n">
        <v>46315</v>
      </c>
      <c r="F83" t="inlineStr">
        <is>
          <t>SKÅNE LÄN</t>
        </is>
      </c>
      <c r="G83" t="inlineStr">
        <is>
          <t>BROMÖLLA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46315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45000</v>
      </c>
      <c r="E85" s="1" t="n">
        <v>46315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46315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31815-2026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46315</v>
      </c>
      <c r="F87" t="inlineStr">
        <is>
          <t>SKÅNE LÄN</t>
        </is>
      </c>
      <c r="G87" t="inlineStr">
        <is>
          <t>BROMÖLLA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46315</v>
      </c>
      <c r="F88" t="inlineStr">
        <is>
          <t>SKÅNE LÄN</t>
        </is>
      </c>
      <c r="G88" t="inlineStr">
        <is>
          <t>BROMÖLLA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45357</v>
      </c>
      <c r="E89" s="1" t="n">
        <v>46315</v>
      </c>
      <c r="F89" t="inlineStr">
        <is>
          <t>SKÅNE LÄN</t>
        </is>
      </c>
      <c r="G89" t="inlineStr">
        <is>
          <t>BROMÖLLA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45127</v>
      </c>
      <c r="E90" s="1" t="n">
        <v>46315</v>
      </c>
      <c r="F90" t="inlineStr">
        <is>
          <t>SKÅNE LÄN</t>
        </is>
      </c>
      <c r="G90" t="inlineStr">
        <is>
          <t>BROMÖLLA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45415</v>
      </c>
      <c r="E91" s="1" t="n">
        <v>46315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46315</v>
      </c>
      <c r="F92" t="inlineStr">
        <is>
          <t>SKÅNE LÄN</t>
        </is>
      </c>
      <c r="G92" t="inlineStr">
        <is>
          <t>BROMÖLLA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46315</v>
      </c>
      <c r="F93" t="inlineStr">
        <is>
          <t>SKÅNE LÄN</t>
        </is>
      </c>
      <c r="G93" t="inlineStr">
        <is>
          <t>BROMÖLLA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45566</v>
      </c>
      <c r="E94" s="1" t="n">
        <v>46315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46315</v>
      </c>
      <c r="F95" t="inlineStr">
        <is>
          <t>SKÅNE LÄN</t>
        </is>
      </c>
      <c r="G95" t="inlineStr">
        <is>
          <t>BROMÖLLA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45104</v>
      </c>
      <c r="E96" s="1" t="n">
        <v>46315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45300</v>
      </c>
      <c r="E97" s="1" t="n">
        <v>46315</v>
      </c>
      <c r="F97" t="inlineStr">
        <is>
          <t>SKÅNE LÄN</t>
        </is>
      </c>
      <c r="G97" t="inlineStr">
        <is>
          <t>BROMÖLLA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46290</v>
      </c>
      <c r="E98" s="1" t="n">
        <v>46315</v>
      </c>
      <c r="F98" t="inlineStr">
        <is>
          <t>SKÅNE LÄN</t>
        </is>
      </c>
      <c r="G98" t="inlineStr">
        <is>
          <t>BROMÖLLA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45622</v>
      </c>
      <c r="E99" s="1" t="n">
        <v>46315</v>
      </c>
      <c r="F99" t="inlineStr">
        <is>
          <t>SKÅNE LÄN</t>
        </is>
      </c>
      <c r="G99" t="inlineStr">
        <is>
          <t>BROMÖLLA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45491</v>
      </c>
      <c r="E100" s="1" t="n">
        <v>46315</v>
      </c>
      <c r="F100" t="inlineStr">
        <is>
          <t>SKÅNE LÄN</t>
        </is>
      </c>
      <c r="G100" t="inlineStr">
        <is>
          <t>BROMÖLLA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46300</v>
      </c>
      <c r="E101" s="1" t="n">
        <v>46315</v>
      </c>
      <c r="F101" t="inlineStr">
        <is>
          <t>SKÅNE LÄN</t>
        </is>
      </c>
      <c r="G101" t="inlineStr">
        <is>
          <t>BROMÖLLA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46315</v>
      </c>
      <c r="F102" t="inlineStr">
        <is>
          <t>SKÅNE LÄN</t>
        </is>
      </c>
      <c r="G102" t="inlineStr">
        <is>
          <t>BROMÖLLA</t>
        </is>
      </c>
      <c r="I102" t="n">
        <v>15.6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46315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46315</v>
      </c>
      <c r="F104" t="inlineStr">
        <is>
          <t>SKÅNE LÄN</t>
        </is>
      </c>
      <c r="G104" t="inlineStr">
        <is>
          <t>BROMÖLLA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46315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46315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46315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46315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46315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46315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46315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46315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46315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46315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46315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46315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46315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46315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46315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46315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46315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46315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46315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2026-10-20T01:51:23Z</dcterms:created>
  <dcterms:modified xmlns:dcterms="http://purl.org/dc/terms/" xmlns:xsi="http://www.w3.org/2001/XMLSchema-instance" xsi:type="dcterms:W3CDTF">2026-10-20T01:51:23Z</dcterms:modified>
</cp:coreProperties>
</file>