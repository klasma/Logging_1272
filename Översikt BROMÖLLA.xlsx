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46306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24688-2025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46306</v>
      </c>
      <c r="F8" t="inlineStr">
        <is>
          <t>SKÅNE LÄN</t>
        </is>
      </c>
      <c r="G8" t="inlineStr">
        <is>
          <t>BROMÖLLA</t>
        </is>
      </c>
      <c r="I8" t="n">
        <v>1.6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Järnsparv
Mindre flugsnappare</t>
        </is>
      </c>
      <c r="W8">
        <f>HYPERLINK("https://klasma.github.io/Logging_1272/artfynd/A 24688-2025 artfynd.xlsx", "A 24688-2025")</f>
        <v/>
      </c>
      <c r="X8">
        <f>HYPERLINK("https://klasma.github.io/Logging_1272/kartor/A 24688-2025 karta.png", "A 24688-2025")</f>
        <v/>
      </c>
      <c r="Y8">
        <f>HYPERLINK("https://klasma.github.io/Logging_1272/kartor_geotiff/A 24688-2025 georefererad karta.tif", "A 24688-2025")</f>
        <v/>
      </c>
      <c r="AA8">
        <f>HYPERLINK("https://klasma.github.io/Logging_1272/klagomål/A 24688-2025 FSC-klagomål.docx", "A 24688-2025")</f>
        <v/>
      </c>
      <c r="AB8">
        <f>HYPERLINK("https://klasma.github.io/Logging_1272/klagomålsmail/A 24688-2025 FSC-klagomål mail.docx", "A 24688-2025")</f>
        <v/>
      </c>
      <c r="AC8">
        <f>HYPERLINK("https://klasma.github.io/Logging_1272/tillsyn/A 24688-2025 tillsynsbegäran.docx", "A 24688-2025")</f>
        <v/>
      </c>
      <c r="AD8">
        <f>HYPERLINK("https://klasma.github.io/Logging_1272/tillsynsmail/A 24688-2025 tillsynsbegäran mail.docx", "A 24688-2025")</f>
        <v/>
      </c>
      <c r="AE8">
        <f>HYPERLINK("https://klasma.github.io/Logging_1272/fåglar/A 24688-2025 prioriterade fågelarter.docx", "A 24688-2025")</f>
        <v/>
      </c>
    </row>
    <row r="9" ht="15" customHeight="1">
      <c r="A9" t="inlineStr">
        <is>
          <t>A 38164-2026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46281</v>
      </c>
      <c r="E9" s="1" t="n">
        <v>46306</v>
      </c>
      <c r="F9" t="inlineStr">
        <is>
          <t>SKÅNE LÄN</t>
        </is>
      </c>
      <c r="G9" t="inlineStr">
        <is>
          <t>BROMÖLLA</t>
        </is>
      </c>
      <c r="I9" t="n">
        <v>6.9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Entita
Spillkråka</t>
        </is>
      </c>
      <c r="W9">
        <f>HYPERLINK("https://klasma.github.io/Logging_1272/artfynd/A 38164-2026 artfynd.xlsx", "A 38164-2026")</f>
        <v/>
      </c>
      <c r="X9">
        <f>HYPERLINK("https://klasma.github.io/Logging_1272/kartor/A 38164-2026 karta.png", "A 38164-2026")</f>
        <v/>
      </c>
      <c r="Y9">
        <f>HYPERLINK("https://klasma.github.io/Logging_1272/kartor_geotiff/A 38164-2026 georefererad karta.tif", "A 38164-2026")</f>
        <v/>
      </c>
      <c r="AA9">
        <f>HYPERLINK("https://klasma.github.io/Logging_1272/klagomål/A 38164-2026 FSC-klagomål.docx", "A 38164-2026")</f>
        <v/>
      </c>
      <c r="AB9">
        <f>HYPERLINK("https://klasma.github.io/Logging_1272/klagomålsmail/A 38164-2026 FSC-klagomål mail.docx", "A 38164-2026")</f>
        <v/>
      </c>
      <c r="AC9">
        <f>HYPERLINK("https://klasma.github.io/Logging_1272/tillsyn/A 38164-2026 tillsynsbegäran.docx", "A 38164-2026")</f>
        <v/>
      </c>
      <c r="AD9">
        <f>HYPERLINK("https://klasma.github.io/Logging_1272/tillsynsmail/A 38164-2026 tillsynsbegäran mail.docx", "A 38164-2026")</f>
        <v/>
      </c>
      <c r="AE9">
        <f>HYPERLINK("https://klasma.github.io/Logging_1272/fåglar/A 38164-2026 prioriterade fågelarter.docx", "A 38164-2026")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46306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46306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46306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46306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50118-2022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44860</v>
      </c>
      <c r="E14" s="1" t="n">
        <v>46306</v>
      </c>
      <c r="F14" t="inlineStr">
        <is>
          <t>SKÅNE LÄN</t>
        </is>
      </c>
      <c r="G14" t="inlineStr">
        <is>
          <t>BROMÖLLA</t>
        </is>
      </c>
      <c r="I14" t="n">
        <v>12.8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Myskmadra</t>
        </is>
      </c>
      <c r="W14">
        <f>HYPERLINK("https://klasma.github.io/Logging_1272/artfynd/A 50118-2022 artfynd.xlsx", "A 50118-2022")</f>
        <v/>
      </c>
      <c r="X14">
        <f>HYPERLINK("https://klasma.github.io/Logging_1272/kartor/A 50118-2022 karta.png", "A 50118-2022")</f>
        <v/>
      </c>
      <c r="Y14">
        <f>HYPERLINK("https://klasma.github.io/Logging_1272/kartor_geotiff/A 50118-2022 georefererad karta.tif", "A 50118-2022")</f>
        <v/>
      </c>
      <c r="AA14">
        <f>HYPERLINK("https://klasma.github.io/Logging_1272/klagomål/A 50118-2022 FSC-klagomål.docx", "A 50118-2022")</f>
        <v/>
      </c>
      <c r="AB14">
        <f>HYPERLINK("https://klasma.github.io/Logging_1272/klagomålsmail/A 50118-2022 FSC-klagomål mail.docx", "A 50118-2022")</f>
        <v/>
      </c>
      <c r="AC14">
        <f>HYPERLINK("https://klasma.github.io/Logging_1272/tillsyn/A 50118-2022 tillsynsbegäran.docx", "A 50118-2022")</f>
        <v/>
      </c>
      <c r="AD14">
        <f>HYPERLINK("https://klasma.github.io/Logging_1272/tillsynsmail/A 50118-2022 tillsynsbegäran mail.docx", "A 50118-2022")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46306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46306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Sminkrot</t>
        </is>
      </c>
      <c r="W16">
        <f>HYPERLINK("https://klasma.github.io/Logging_1272/artfynd/A 17522-2026 artfynd.xlsx", "A 17522-2026")</f>
        <v/>
      </c>
      <c r="X16">
        <f>HYPERLINK("https://klasma.github.io/Logging_1272/kartor/A 17522-2026 karta.png", "A 17522-2026")</f>
        <v/>
      </c>
      <c r="Y16">
        <f>HYPERLINK("https://klasma.github.io/Logging_1272/kartor_geotiff/A 17522-2026 georefererad karta.tif", "A 17522-2026")</f>
        <v/>
      </c>
      <c r="AA16">
        <f>HYPERLINK("https://klasma.github.io/Logging_1272/klagomål/A 17522-2026 FSC-klagomål.docx", "A 17522-2026")</f>
        <v/>
      </c>
      <c r="AB16">
        <f>HYPERLINK("https://klasma.github.io/Logging_1272/klagomålsmail/A 17522-2026 FSC-klagomål mail.docx", "A 17522-2026")</f>
        <v/>
      </c>
      <c r="AC16">
        <f>HYPERLINK("https://klasma.github.io/Logging_1272/tillsyn/A 17522-2026 tillsynsbegäran.docx", "A 17522-2026")</f>
        <v/>
      </c>
      <c r="AD16">
        <f>HYPERLINK("https://klasma.github.io/Logging_1272/tillsynsmail/A 17522-2026 tillsynsbegäran mail.docx", "A 17522-2026")</f>
        <v/>
      </c>
    </row>
    <row r="17" ht="15" customHeight="1">
      <c r="A17" t="inlineStr">
        <is>
          <t>A 35397-2025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46306</v>
      </c>
      <c r="F17" t="inlineStr">
        <is>
          <t>SKÅNE LÄN</t>
        </is>
      </c>
      <c r="G17" t="inlineStr">
        <is>
          <t>BROMÖLLA</t>
        </is>
      </c>
      <c r="I17" t="n">
        <v>8.4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Skogsbräsma</t>
        </is>
      </c>
      <c r="W17">
        <f>HYPERLINK("https://klasma.github.io/Logging_1272/artfynd/A 35397-2025 artfynd.xlsx", "A 35397-2025")</f>
        <v/>
      </c>
      <c r="X17">
        <f>HYPERLINK("https://klasma.github.io/Logging_1272/kartor/A 35397-2025 karta.png", "A 35397-2025")</f>
        <v/>
      </c>
      <c r="Y17">
        <f>HYPERLINK("https://klasma.github.io/Logging_1272/kartor_geotiff/A 35397-2025 georefererad karta.tif", "A 35397-2025")</f>
        <v/>
      </c>
      <c r="AA17">
        <f>HYPERLINK("https://klasma.github.io/Logging_1272/klagomål/A 35397-2025 FSC-klagomål.docx", "A 35397-2025")</f>
        <v/>
      </c>
      <c r="AB17">
        <f>HYPERLINK("https://klasma.github.io/Logging_1272/klagomålsmail/A 35397-2025 FSC-klagomål mail.docx", "A 35397-2025")</f>
        <v/>
      </c>
      <c r="AC17">
        <f>HYPERLINK("https://klasma.github.io/Logging_1272/tillsyn/A 35397-2025 tillsynsbegäran.docx", "A 35397-2025")</f>
        <v/>
      </c>
      <c r="AD17">
        <f>HYPERLINK("https://klasma.github.io/Logging_1272/tillsynsmail/A 35397-2025 tillsynsbegäran mail.docx", "A 35397-2025")</f>
        <v/>
      </c>
    </row>
    <row r="18" ht="15" customHeight="1">
      <c r="A18" t="inlineStr">
        <is>
          <t>A 8362-2026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46064</v>
      </c>
      <c r="E18" s="1" t="n">
        <v>46306</v>
      </c>
      <c r="F18" t="inlineStr">
        <is>
          <t>SKÅNE LÄN</t>
        </is>
      </c>
      <c r="G18" t="inlineStr">
        <is>
          <t>BROMÖLLA</t>
        </is>
      </c>
      <c r="I18" t="n">
        <v>2.7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HYPERLINK("https://klasma.github.io/Logging_1272/artfynd/A 8362-2026 artfynd.xlsx", "A 8362-2026")</f>
        <v/>
      </c>
      <c r="X18">
        <f>HYPERLINK("https://klasma.github.io/Logging_1272/kartor/A 8362-2026 karta.png", "A 8362-2026")</f>
        <v/>
      </c>
      <c r="Y18">
        <f>HYPERLINK("https://klasma.github.io/Logging_1272/kartor_geotiff/A 8362-2026 georefererad karta.tif", "A 8362-2026")</f>
        <v/>
      </c>
      <c r="AA18">
        <f>HYPERLINK("https://klasma.github.io/Logging_1272/klagomål/A 8362-2026 FSC-klagomål.docx", "A 8362-2026")</f>
        <v/>
      </c>
      <c r="AB18">
        <f>HYPERLINK("https://klasma.github.io/Logging_1272/klagomålsmail/A 8362-2026 FSC-klagomål mail.docx", "A 8362-2026")</f>
        <v/>
      </c>
      <c r="AC18">
        <f>HYPERLINK("https://klasma.github.io/Logging_1272/tillsyn/A 8362-2026 tillsynsbegäran.docx", "A 8362-2026")</f>
        <v/>
      </c>
      <c r="AD18">
        <f>HYPERLINK("https://klasma.github.io/Logging_1272/tillsynsmail/A 8362-2026 tillsynsbegäran mail.docx", "A 8362-2026")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46306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46306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46306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46306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46306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46306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46306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46306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46306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46306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46306</v>
      </c>
      <c r="F29" t="inlineStr">
        <is>
          <t>SKÅNE LÄN</t>
        </is>
      </c>
      <c r="G29" t="inlineStr">
        <is>
          <t>BROMÖLLA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46306</v>
      </c>
      <c r="F30" t="inlineStr">
        <is>
          <t>SKÅNE LÄN</t>
        </is>
      </c>
      <c r="G30" t="inlineStr">
        <is>
          <t>BROMÖLLA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46306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46306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44833</v>
      </c>
      <c r="E33" s="1" t="n">
        <v>46306</v>
      </c>
      <c r="F33" t="inlineStr">
        <is>
          <t>SKÅNE LÄN</t>
        </is>
      </c>
      <c r="G33" t="inlineStr">
        <is>
          <t>BROMÖLLA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46306</v>
      </c>
      <c r="F34" t="inlineStr">
        <is>
          <t>SKÅNE LÄN</t>
        </is>
      </c>
      <c r="G34" t="inlineStr">
        <is>
          <t>BROMÖLLA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9006-2024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46306</v>
      </c>
      <c r="F35" t="inlineStr">
        <is>
          <t>SKÅNE LÄN</t>
        </is>
      </c>
      <c r="G35" t="inlineStr">
        <is>
          <t>BROMÖLLA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45127</v>
      </c>
      <c r="E36" s="1" t="n">
        <v>46306</v>
      </c>
      <c r="F36" t="inlineStr">
        <is>
          <t>SKÅNE LÄN</t>
        </is>
      </c>
      <c r="G36" t="inlineStr">
        <is>
          <t>BROMÖLLA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54689-2023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45235</v>
      </c>
      <c r="E37" s="1" t="n">
        <v>46306</v>
      </c>
      <c r="F37" t="inlineStr">
        <is>
          <t>SKÅNE LÄN</t>
        </is>
      </c>
      <c r="G37" t="inlineStr">
        <is>
          <t>BROMÖLLA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46306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17517-2024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45415</v>
      </c>
      <c r="E39" s="1" t="n">
        <v>46306</v>
      </c>
      <c r="F39" t="inlineStr">
        <is>
          <t>SKÅNE LÄN</t>
        </is>
      </c>
      <c r="G39" t="inlineStr">
        <is>
          <t>BROMÖLLA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46306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47315-2023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46306</v>
      </c>
      <c r="F41" t="inlineStr">
        <is>
          <t>SKÅNE LÄN</t>
        </is>
      </c>
      <c r="G41" t="inlineStr">
        <is>
          <t>BROMÖLLA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12685-2024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45384</v>
      </c>
      <c r="E42" s="1" t="n">
        <v>46306</v>
      </c>
      <c r="F42" t="inlineStr">
        <is>
          <t>SKÅNE LÄN</t>
        </is>
      </c>
      <c r="G42" t="inlineStr">
        <is>
          <t>BROMÖLLA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45365</v>
      </c>
      <c r="E43" s="1" t="n">
        <v>46306</v>
      </c>
      <c r="F43" t="inlineStr">
        <is>
          <t>SKÅNE LÄN</t>
        </is>
      </c>
      <c r="G43" t="inlineStr">
        <is>
          <t>BROMÖLLA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45208</v>
      </c>
      <c r="E44" s="1" t="n">
        <v>46306</v>
      </c>
      <c r="F44" t="inlineStr">
        <is>
          <t>SKÅNE LÄN</t>
        </is>
      </c>
      <c r="G44" t="inlineStr">
        <is>
          <t>BROMÖLLA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46306</v>
      </c>
      <c r="F45" t="inlineStr">
        <is>
          <t>SKÅNE LÄN</t>
        </is>
      </c>
      <c r="G45" t="inlineStr">
        <is>
          <t>BROMÖLLA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46306</v>
      </c>
      <c r="F46" t="inlineStr">
        <is>
          <t>SKÅNE LÄN</t>
        </is>
      </c>
      <c r="G46" t="inlineStr">
        <is>
          <t>BROMÖLLA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46306</v>
      </c>
      <c r="F47" t="inlineStr">
        <is>
          <t>SKÅNE LÄN</t>
        </is>
      </c>
      <c r="G47" t="inlineStr">
        <is>
          <t>BROMÖLLA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28870-2023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46306</v>
      </c>
      <c r="F48" t="inlineStr">
        <is>
          <t>SKÅNE LÄN</t>
        </is>
      </c>
      <c r="G48" t="inlineStr">
        <is>
          <t>BROMÖLLA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45300</v>
      </c>
      <c r="E49" s="1" t="n">
        <v>46306</v>
      </c>
      <c r="F49" t="inlineStr">
        <is>
          <t>SKÅNE LÄN</t>
        </is>
      </c>
      <c r="G49" t="inlineStr">
        <is>
          <t>BROMÖLLA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45622</v>
      </c>
      <c r="E50" s="1" t="n">
        <v>46306</v>
      </c>
      <c r="F50" t="inlineStr">
        <is>
          <t>SKÅNE LÄN</t>
        </is>
      </c>
      <c r="G50" t="inlineStr">
        <is>
          <t>BROMÖLLA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46306</v>
      </c>
      <c r="F51" t="inlineStr">
        <is>
          <t>SKÅNE LÄN</t>
        </is>
      </c>
      <c r="G51" t="inlineStr">
        <is>
          <t>BROMÖLLA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34216-2023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45126</v>
      </c>
      <c r="E52" s="1" t="n">
        <v>46306</v>
      </c>
      <c r="F52" t="inlineStr">
        <is>
          <t>SKÅNE LÄN</t>
        </is>
      </c>
      <c r="G52" t="inlineStr">
        <is>
          <t>BROMÖLLA</t>
        </is>
      </c>
      <c r="H52" t="inlineStr">
        <is>
          <t>Kyrkan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42912-2024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45566</v>
      </c>
      <c r="E53" s="1" t="n">
        <v>46306</v>
      </c>
      <c r="F53" t="inlineStr">
        <is>
          <t>SKÅNE LÄN</t>
        </is>
      </c>
      <c r="G53" t="inlineStr">
        <is>
          <t>BROMÖLLA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45491</v>
      </c>
      <c r="E54" s="1" t="n">
        <v>46306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46306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44911</v>
      </c>
      <c r="E56" s="1" t="n">
        <v>46306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30112-2023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46306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35798-2023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46306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46306</v>
      </c>
      <c r="F59" t="inlineStr">
        <is>
          <t>SKÅNE LÄN</t>
        </is>
      </c>
      <c r="G59" t="inlineStr">
        <is>
          <t>BROMÖLLA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46306</v>
      </c>
      <c r="F60" t="inlineStr">
        <is>
          <t>SKÅNE LÄN</t>
        </is>
      </c>
      <c r="G60" t="inlineStr">
        <is>
          <t>BROMÖLLA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46306</v>
      </c>
      <c r="F61" t="inlineStr">
        <is>
          <t>SKÅNE LÄN</t>
        </is>
      </c>
      <c r="G61" t="inlineStr">
        <is>
          <t>BROMÖLLA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45299</v>
      </c>
      <c r="E62" s="1" t="n">
        <v>46306</v>
      </c>
      <c r="F62" t="inlineStr">
        <is>
          <t>SKÅNE LÄN</t>
        </is>
      </c>
      <c r="G62" t="inlineStr">
        <is>
          <t>BROMÖLLA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46306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45674</v>
      </c>
      <c r="E64" s="1" t="n">
        <v>46306</v>
      </c>
      <c r="F64" t="inlineStr">
        <is>
          <t>SKÅNE LÄN</t>
        </is>
      </c>
      <c r="G64" t="inlineStr">
        <is>
          <t>BROMÖLLA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46306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45033</v>
      </c>
      <c r="E66" s="1" t="n">
        <v>46306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45306</v>
      </c>
      <c r="E67" s="1" t="n">
        <v>46306</v>
      </c>
      <c r="F67" t="inlineStr">
        <is>
          <t>SKÅNE LÄN</t>
        </is>
      </c>
      <c r="G67" t="inlineStr">
        <is>
          <t>BROMÖLLA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45972</v>
      </c>
      <c r="E68" s="1" t="n">
        <v>46306</v>
      </c>
      <c r="F68" t="inlineStr">
        <is>
          <t>SKÅNE LÄN</t>
        </is>
      </c>
      <c r="G68" t="inlineStr">
        <is>
          <t>BROMÖLLA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46306</v>
      </c>
      <c r="F69" t="inlineStr">
        <is>
          <t>SKÅNE LÄN</t>
        </is>
      </c>
      <c r="G69" t="inlineStr">
        <is>
          <t>BROMÖLLA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46306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46306</v>
      </c>
      <c r="F71" t="inlineStr">
        <is>
          <t>SKÅNE LÄN</t>
        </is>
      </c>
      <c r="G71" t="inlineStr">
        <is>
          <t>BROMÖLLA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45217</v>
      </c>
      <c r="E72" s="1" t="n">
        <v>46306</v>
      </c>
      <c r="F72" t="inlineStr">
        <is>
          <t>SKÅNE LÄN</t>
        </is>
      </c>
      <c r="G72" t="inlineStr">
        <is>
          <t>BROMÖLLA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46306</v>
      </c>
      <c r="F73" t="inlineStr">
        <is>
          <t>SKÅNE LÄN</t>
        </is>
      </c>
      <c r="G73" t="inlineStr">
        <is>
          <t>BROMÖLLA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46733-2023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45195</v>
      </c>
      <c r="E74" s="1" t="n">
        <v>46306</v>
      </c>
      <c r="F74" t="inlineStr">
        <is>
          <t>SKÅNE LÄN</t>
        </is>
      </c>
      <c r="G74" t="inlineStr">
        <is>
          <t>BROMÖLLA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46306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46306</v>
      </c>
      <c r="F76" t="inlineStr">
        <is>
          <t>SKÅNE LÄN</t>
        </is>
      </c>
      <c r="G76" t="inlineStr">
        <is>
          <t>BROMÖLLA</t>
        </is>
      </c>
      <c r="I76" t="n">
        <v>12.7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46306</v>
      </c>
      <c r="F77" t="inlineStr">
        <is>
          <t>SKÅNE LÄN</t>
        </is>
      </c>
      <c r="G77" t="inlineStr">
        <is>
          <t>BROMÖLLA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46306</v>
      </c>
      <c r="F78" t="inlineStr">
        <is>
          <t>SKÅNE LÄN</t>
        </is>
      </c>
      <c r="G78" t="inlineStr">
        <is>
          <t>BROMÖLLA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45180</v>
      </c>
      <c r="E79" s="1" t="n">
        <v>46306</v>
      </c>
      <c r="F79" t="inlineStr">
        <is>
          <t>SKÅNE LÄN</t>
        </is>
      </c>
      <c r="G79" t="inlineStr">
        <is>
          <t>BROMÖLLA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46306</v>
      </c>
      <c r="F80" t="inlineStr">
        <is>
          <t>SKÅNE LÄN</t>
        </is>
      </c>
      <c r="G80" t="inlineStr">
        <is>
          <t>BROMÖLLA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39455-2024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45551</v>
      </c>
      <c r="E81" s="1" t="n">
        <v>46306</v>
      </c>
      <c r="F81" t="inlineStr">
        <is>
          <t>SKÅNE LÄN</t>
        </is>
      </c>
      <c r="G81" t="inlineStr">
        <is>
          <t>BROMÖLLA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46306</v>
      </c>
      <c r="F82" t="inlineStr">
        <is>
          <t>SKÅNE LÄN</t>
        </is>
      </c>
      <c r="G82" t="inlineStr">
        <is>
          <t>BROMÖLLA</t>
        </is>
      </c>
      <c r="H82" t="inlineStr">
        <is>
          <t>Kyrkan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45996</v>
      </c>
      <c r="E83" s="1" t="n">
        <v>46306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46306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45996</v>
      </c>
      <c r="E85" s="1" t="n">
        <v>46306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46306</v>
      </c>
      <c r="F86" t="inlineStr">
        <is>
          <t>SKÅNE LÄN</t>
        </is>
      </c>
      <c r="G86" t="inlineStr">
        <is>
          <t>BROMÖLLA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46306</v>
      </c>
      <c r="F87" t="inlineStr">
        <is>
          <t>SKÅNE LÄN</t>
        </is>
      </c>
      <c r="G87" t="inlineStr">
        <is>
          <t>BROMÖLLA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46306</v>
      </c>
      <c r="F88" t="inlineStr">
        <is>
          <t>SKÅNE LÄN</t>
        </is>
      </c>
      <c r="G88" t="inlineStr">
        <is>
          <t>BROMÖLLA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45866</v>
      </c>
      <c r="E89" s="1" t="n">
        <v>46306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46306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46306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46306</v>
      </c>
      <c r="F92" t="inlineStr">
        <is>
          <t>SKÅNE LÄN</t>
        </is>
      </c>
      <c r="G92" t="inlineStr">
        <is>
          <t>BROMÖLLA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46071</v>
      </c>
      <c r="E93" s="1" t="n">
        <v>46306</v>
      </c>
      <c r="F93" t="inlineStr">
        <is>
          <t>SKÅNE LÄN</t>
        </is>
      </c>
      <c r="G93" t="inlineStr">
        <is>
          <t>BROMÖLLA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46071</v>
      </c>
      <c r="E94" s="1" t="n">
        <v>46306</v>
      </c>
      <c r="F94" t="inlineStr">
        <is>
          <t>SKÅNE LÄN</t>
        </is>
      </c>
      <c r="G94" t="inlineStr">
        <is>
          <t>BROMÖLLA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31404-2025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46306</v>
      </c>
      <c r="F95" t="inlineStr">
        <is>
          <t>SKÅNE LÄN</t>
        </is>
      </c>
      <c r="G95" t="inlineStr">
        <is>
          <t>BROMÖLLA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46306</v>
      </c>
      <c r="F96" t="inlineStr">
        <is>
          <t>SKÅNE LÄN</t>
        </is>
      </c>
      <c r="G96" t="inlineStr">
        <is>
          <t>BROMÖLLA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46306</v>
      </c>
      <c r="F97" t="inlineStr">
        <is>
          <t>SKÅNE LÄN</t>
        </is>
      </c>
      <c r="G97" t="inlineStr">
        <is>
          <t>BROMÖLLA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46306</v>
      </c>
      <c r="F98" t="inlineStr">
        <is>
          <t>SKÅNE LÄN</t>
        </is>
      </c>
      <c r="G98" t="inlineStr">
        <is>
          <t>BROMÖLLA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46306</v>
      </c>
      <c r="F99" t="inlineStr">
        <is>
          <t>SKÅNE LÄN</t>
        </is>
      </c>
      <c r="G99" t="inlineStr">
        <is>
          <t>BROMÖLLA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46306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46306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46290</v>
      </c>
      <c r="E102" s="1" t="n">
        <v>46306</v>
      </c>
      <c r="F102" t="inlineStr">
        <is>
          <t>SKÅNE LÄN</t>
        </is>
      </c>
      <c r="G102" t="inlineStr">
        <is>
          <t>BROMÖLLA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46306</v>
      </c>
      <c r="F103" t="inlineStr">
        <is>
          <t>SKÅNE LÄN</t>
        </is>
      </c>
      <c r="G103" t="inlineStr">
        <is>
          <t>BROMÖLLA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46306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46306</v>
      </c>
      <c r="F105" t="inlineStr">
        <is>
          <t>SKÅNE LÄN</t>
        </is>
      </c>
      <c r="G105" t="inlineStr">
        <is>
          <t>BROMÖLLA</t>
        </is>
      </c>
      <c r="I105" t="n">
        <v>15.6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46306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46306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46306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46306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46306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46306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46306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46306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46306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46306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46306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46306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46306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46306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46306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46306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46306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46306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2026-10-11T02:04:29Z</dcterms:created>
  <dcterms:modified xmlns:dcterms="http://purl.org/dc/terms/" xmlns:xsi="http://www.w3.org/2001/XMLSchema-instance" xsi:type="dcterms:W3CDTF">2026-10-11T02:04:29Z</dcterms:modified>
</cp:coreProperties>
</file>