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46310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46310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46310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46310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46310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46310</v>
      </c>
      <c r="F7" t="inlineStr">
        <is>
          <t>SKÅNE LÄN</t>
        </is>
      </c>
      <c r="G7" t="inlineStr">
        <is>
          <t>BROMÖLLA</t>
        </is>
      </c>
      <c r="I7" t="n">
        <v>1.6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Järnsparv
Mindre flugsnappare</t>
        </is>
      </c>
      <c r="W7">
        <f>HYPERLINK("https://klasma.github.io/Logging_1272/artfynd/A 24688-2025 artfynd.xlsx", "A 24688-2025")</f>
        <v/>
      </c>
      <c r="X7">
        <f>HYPERLINK("https://klasma.github.io/Logging_1272/kartor/A 24688-2025 karta.png", "A 24688-2025")</f>
        <v/>
      </c>
      <c r="Y7">
        <f>HYPERLINK("https://klasma.github.io/Logging_1272/kartor_geotiff/A 24688-2025 georefererad karta.tif", "A 24688-2025")</f>
        <v/>
      </c>
      <c r="AA7">
        <f>HYPERLINK("https://klasma.github.io/Logging_1272/klagomål/A 24688-2025 FSC-klagomål.docx", "A 24688-2025")</f>
        <v/>
      </c>
      <c r="AB7">
        <f>HYPERLINK("https://klasma.github.io/Logging_1272/klagomålsmail/A 24688-2025 FSC-klagomål mail.docx", "A 24688-2025")</f>
        <v/>
      </c>
      <c r="AC7">
        <f>HYPERLINK("https://klasma.github.io/Logging_1272/tillsyn/A 24688-2025 tillsynsbegäran.docx", "A 24688-2025")</f>
        <v/>
      </c>
      <c r="AD7">
        <f>HYPERLINK("https://klasma.github.io/Logging_1272/tillsynsmail/A 24688-2025 tillsynsbegäran mail.docx", "A 24688-2025")</f>
        <v/>
      </c>
      <c r="AE7">
        <f>HYPERLINK("https://klasma.github.io/Logging_1272/fåglar/A 24688-2025 prioriterade fågelarter.docx", "A 24688-2025")</f>
        <v/>
      </c>
    </row>
    <row r="8" ht="15" customHeight="1">
      <c r="A8" t="inlineStr">
        <is>
          <t>A 20426-2023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45056</v>
      </c>
      <c r="E8" s="1" t="n">
        <v>46310</v>
      </c>
      <c r="F8" t="inlineStr">
        <is>
          <t>SKÅNE LÄN</t>
        </is>
      </c>
      <c r="G8" t="inlineStr">
        <is>
          <t>BROMÖLLA</t>
        </is>
      </c>
      <c r="I8" t="n">
        <v>5.2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Bokvårtlav
Hålnunneört</t>
        </is>
      </c>
      <c r="W8">
        <f>HYPERLINK("https://klasma.github.io/Logging_1272/artfynd/A 20426-2023 artfynd.xlsx", "A 20426-2023")</f>
        <v/>
      </c>
      <c r="X8">
        <f>HYPERLINK("https://klasma.github.io/Logging_1272/kartor/A 20426-2023 karta.png", "A 20426-2023")</f>
        <v/>
      </c>
      <c r="Y8">
        <f>HYPERLINK("https://klasma.github.io/Logging_1272/kartor_geotiff/A 20426-2023 georefererad karta.tif", "A 20426-2023")</f>
        <v/>
      </c>
      <c r="AA8">
        <f>HYPERLINK("https://klasma.github.io/Logging_1272/klagomål/A 20426-2023 FSC-klagomål.docx", "A 20426-2023")</f>
        <v/>
      </c>
      <c r="AB8">
        <f>HYPERLINK("https://klasma.github.io/Logging_1272/klagomålsmail/A 20426-2023 FSC-klagomål mail.docx", "A 20426-2023")</f>
        <v/>
      </c>
      <c r="AC8">
        <f>HYPERLINK("https://klasma.github.io/Logging_1272/tillsyn/A 20426-2023 tillsynsbegäran.docx", "A 20426-2023")</f>
        <v/>
      </c>
      <c r="AD8">
        <f>HYPERLINK("https://klasma.github.io/Logging_1272/tillsynsmail/A 20426-2023 tillsynsbegäran mail.docx", "A 20426-2023")</f>
        <v/>
      </c>
    </row>
    <row r="9" ht="15" customHeight="1">
      <c r="A9" t="inlineStr">
        <is>
          <t>A 38164-2026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46281</v>
      </c>
      <c r="E9" s="1" t="n">
        <v>46310</v>
      </c>
      <c r="F9" t="inlineStr">
        <is>
          <t>SKÅNE LÄN</t>
        </is>
      </c>
      <c r="G9" t="inlineStr">
        <is>
          <t>BROMÖLLA</t>
        </is>
      </c>
      <c r="I9" t="n">
        <v>6.9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Entita
Spillkråka</t>
        </is>
      </c>
      <c r="W9">
        <f>HYPERLINK("https://klasma.github.io/Logging_1272/artfynd/A 38164-2026 artfynd.xlsx", "A 38164-2026")</f>
        <v/>
      </c>
      <c r="X9">
        <f>HYPERLINK("https://klasma.github.io/Logging_1272/kartor/A 38164-2026 karta.png", "A 38164-2026")</f>
        <v/>
      </c>
      <c r="Y9">
        <f>HYPERLINK("https://klasma.github.io/Logging_1272/kartor_geotiff/A 38164-2026 georefererad karta.tif", "A 38164-2026")</f>
        <v/>
      </c>
      <c r="AA9">
        <f>HYPERLINK("https://klasma.github.io/Logging_1272/klagomål/A 38164-2026 FSC-klagomål.docx", "A 38164-2026")</f>
        <v/>
      </c>
      <c r="AB9">
        <f>HYPERLINK("https://klasma.github.io/Logging_1272/klagomålsmail/A 38164-2026 FSC-klagomål mail.docx", "A 38164-2026")</f>
        <v/>
      </c>
      <c r="AC9">
        <f>HYPERLINK("https://klasma.github.io/Logging_1272/tillsyn/A 38164-2026 tillsynsbegäran.docx", "A 38164-2026")</f>
        <v/>
      </c>
      <c r="AD9">
        <f>HYPERLINK("https://klasma.github.io/Logging_1272/tillsynsmail/A 38164-2026 tillsynsbegäran mail.docx", "A 38164-2026")</f>
        <v/>
      </c>
      <c r="AE9">
        <f>HYPERLINK("https://klasma.github.io/Logging_1272/fåglar/A 38164-2026 prioriterade fågelarter.docx", "A 38164-2026")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46310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46310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46310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46310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17522-2026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46120</v>
      </c>
      <c r="E14" s="1" t="n">
        <v>46310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Sminkrot</t>
        </is>
      </c>
      <c r="W14">
        <f>HYPERLINK("https://klasma.github.io/Logging_1272/artfynd/A 17522-2026 artfynd.xlsx", "A 17522-2026")</f>
        <v/>
      </c>
      <c r="X14">
        <f>HYPERLINK("https://klasma.github.io/Logging_1272/kartor/A 17522-2026 karta.png", "A 17522-2026")</f>
        <v/>
      </c>
      <c r="Y14">
        <f>HYPERLINK("https://klasma.github.io/Logging_1272/kartor_geotiff/A 17522-2026 georefererad karta.tif", "A 17522-2026")</f>
        <v/>
      </c>
      <c r="AA14">
        <f>HYPERLINK("https://klasma.github.io/Logging_1272/klagomål/A 17522-2026 FSC-klagomål.docx", "A 17522-2026")</f>
        <v/>
      </c>
      <c r="AB14">
        <f>HYPERLINK("https://klasma.github.io/Logging_1272/klagomålsmail/A 17522-2026 FSC-klagomål mail.docx", "A 17522-2026")</f>
        <v/>
      </c>
      <c r="AC14">
        <f>HYPERLINK("https://klasma.github.io/Logging_1272/tillsyn/A 17522-2026 tillsynsbegäran.docx", "A 17522-2026")</f>
        <v/>
      </c>
      <c r="AD14">
        <f>HYPERLINK("https://klasma.github.io/Logging_1272/tillsynsmail/A 17522-2026 tillsynsbegäran mail.docx", "A 17522-2026")</f>
        <v/>
      </c>
    </row>
    <row r="15" ht="15" customHeight="1">
      <c r="A15" t="inlineStr">
        <is>
          <t>A 50118-2022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44860</v>
      </c>
      <c r="E15" s="1" t="n">
        <v>46310</v>
      </c>
      <c r="F15" t="inlineStr">
        <is>
          <t>SKÅNE LÄN</t>
        </is>
      </c>
      <c r="G15" t="inlineStr">
        <is>
          <t>BROMÖLLA</t>
        </is>
      </c>
      <c r="I15" t="n">
        <v>12.8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Myskmadra</t>
        </is>
      </c>
      <c r="W15">
        <f>HYPERLINK("https://klasma.github.io/Logging_1272/artfynd/A 50118-2022 artfynd.xlsx", "A 50118-2022")</f>
        <v/>
      </c>
      <c r="X15">
        <f>HYPERLINK("https://klasma.github.io/Logging_1272/kartor/A 50118-2022 karta.png", "A 50118-2022")</f>
        <v/>
      </c>
      <c r="Y15">
        <f>HYPERLINK("https://klasma.github.io/Logging_1272/kartor_geotiff/A 50118-2022 georefererad karta.tif", "A 50118-2022")</f>
        <v/>
      </c>
      <c r="AA15">
        <f>HYPERLINK("https://klasma.github.io/Logging_1272/klagomål/A 50118-2022 FSC-klagomål.docx", "A 50118-2022")</f>
        <v/>
      </c>
      <c r="AB15">
        <f>HYPERLINK("https://klasma.github.io/Logging_1272/klagomålsmail/A 50118-2022 FSC-klagomål mail.docx", "A 50118-2022")</f>
        <v/>
      </c>
      <c r="AC15">
        <f>HYPERLINK("https://klasma.github.io/Logging_1272/tillsyn/A 50118-2022 tillsynsbegäran.docx", "A 50118-2022")</f>
        <v/>
      </c>
      <c r="AD15">
        <f>HYPERLINK("https://klasma.github.io/Logging_1272/tillsynsmail/A 50118-2022 tillsynsbegäran mail.docx", "A 50118-2022")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46310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A 8362-2026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46310</v>
      </c>
      <c r="F17" t="inlineStr">
        <is>
          <t>SKÅNE LÄN</t>
        </is>
      </c>
      <c r="G17" t="inlineStr">
        <is>
          <t>BROMÖLLA</t>
        </is>
      </c>
      <c r="I17" t="n">
        <v>2.7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HYPERLINK("https://klasma.github.io/Logging_1272/artfynd/A 8362-2026 artfynd.xlsx", "A 8362-2026")</f>
        <v/>
      </c>
      <c r="X17">
        <f>HYPERLINK("https://klasma.github.io/Logging_1272/kartor/A 8362-2026 karta.png", "A 8362-2026")</f>
        <v/>
      </c>
      <c r="Y17">
        <f>HYPERLINK("https://klasma.github.io/Logging_1272/kartor_geotiff/A 8362-2026 georefererad karta.tif", "A 8362-2026")</f>
        <v/>
      </c>
      <c r="AA17">
        <f>HYPERLINK("https://klasma.github.io/Logging_1272/klagomål/A 8362-2026 FSC-klagomål.docx", "A 8362-2026")</f>
        <v/>
      </c>
      <c r="AB17">
        <f>HYPERLINK("https://klasma.github.io/Logging_1272/klagomålsmail/A 8362-2026 FSC-klagomål mail.docx", "A 8362-2026")</f>
        <v/>
      </c>
      <c r="AC17">
        <f>HYPERLINK("https://klasma.github.io/Logging_1272/tillsyn/A 8362-2026 tillsynsbegäran.docx", "A 8362-2026")</f>
        <v/>
      </c>
      <c r="AD17">
        <f>HYPERLINK("https://klasma.github.io/Logging_1272/tillsynsmail/A 8362-2026 tillsynsbegäran mail.docx", "A 8362-2026")</f>
        <v/>
      </c>
    </row>
    <row r="18" ht="15" customHeight="1">
      <c r="A18" t="inlineStr">
        <is>
          <t>A 52972-2023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46310</v>
      </c>
      <c r="F18" t="inlineStr">
        <is>
          <t>SKÅNE LÄN</t>
        </is>
      </c>
      <c r="G18" t="inlineStr">
        <is>
          <t>BROMÖLLA</t>
        </is>
      </c>
      <c r="I18" t="n">
        <v>6.4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HYPERLINK("https://klasma.github.io/Logging_1272/artfynd/A 52972-2023 artfynd.xlsx", "A 52972-2023")</f>
        <v/>
      </c>
      <c r="X18">
        <f>HYPERLINK("https://klasma.github.io/Logging_1272/kartor/A 52972-2023 karta.png", "A 52972-2023")</f>
        <v/>
      </c>
      <c r="Y18">
        <f>HYPERLINK("https://klasma.github.io/Logging_1272/kartor_geotiff/A 52972-2023 georefererad karta.tif", "A 52972-2023")</f>
        <v/>
      </c>
      <c r="AA18">
        <f>HYPERLINK("https://klasma.github.io/Logging_1272/klagomål/A 52972-2023 FSC-klagomål.docx", "A 52972-2023")</f>
        <v/>
      </c>
      <c r="AB18">
        <f>HYPERLINK("https://klasma.github.io/Logging_1272/klagomålsmail/A 52972-2023 FSC-klagomål mail.docx", "A 52972-2023")</f>
        <v/>
      </c>
      <c r="AC18">
        <f>HYPERLINK("https://klasma.github.io/Logging_1272/tillsyn/A 52972-2023 tillsynsbegäran.docx", "A 52972-2023")</f>
        <v/>
      </c>
      <c r="AD18">
        <f>HYPERLINK("https://klasma.github.io/Logging_1272/tillsynsmail/A 52972-2023 tillsynsbegäran mail.docx", "A 52972-2023")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46310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46310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46310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46310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46310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46310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46310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46310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46310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46310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46310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46310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46310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55901-2024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45622</v>
      </c>
      <c r="E32" s="1" t="n">
        <v>46310</v>
      </c>
      <c r="F32" t="inlineStr">
        <is>
          <t>SKÅNE LÄN</t>
        </is>
      </c>
      <c r="G32" t="inlineStr">
        <is>
          <t>BROMÖLLA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46310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45300</v>
      </c>
      <c r="E34" s="1" t="n">
        <v>46310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46310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46310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46310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46310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46310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46310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46310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46310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46310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57181-2024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46310</v>
      </c>
      <c r="F44" t="inlineStr">
        <is>
          <t>SKÅNE LÄN</t>
        </is>
      </c>
      <c r="G44" t="inlineStr">
        <is>
          <t>BROMÖLLA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46310</v>
      </c>
      <c r="F45" t="inlineStr">
        <is>
          <t>SKÅNE LÄN</t>
        </is>
      </c>
      <c r="G45" t="inlineStr">
        <is>
          <t>BROMÖLLA</t>
        </is>
      </c>
      <c r="I45" t="n">
        <v>12.7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46310</v>
      </c>
      <c r="F46" t="inlineStr">
        <is>
          <t>SKÅNE LÄN</t>
        </is>
      </c>
      <c r="G46" t="inlineStr">
        <is>
          <t>BROMÖLLA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45300</v>
      </c>
      <c r="E47" s="1" t="n">
        <v>46310</v>
      </c>
      <c r="F47" t="inlineStr">
        <is>
          <t>SKÅNE LÄN</t>
        </is>
      </c>
      <c r="G47" t="inlineStr">
        <is>
          <t>BROMÖLLA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46310</v>
      </c>
      <c r="F48" t="inlineStr">
        <is>
          <t>SKÅNE LÄN</t>
        </is>
      </c>
      <c r="G48" t="inlineStr">
        <is>
          <t>BROMÖLLA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45235</v>
      </c>
      <c r="E49" s="1" t="n">
        <v>46310</v>
      </c>
      <c r="F49" t="inlineStr">
        <is>
          <t>SKÅNE LÄN</t>
        </is>
      </c>
      <c r="G49" t="inlineStr">
        <is>
          <t>BROMÖLLA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8366-2026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46310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12721-2023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46310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9508-2026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46310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9509-2026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46310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11861-2025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45728</v>
      </c>
      <c r="E54" s="1" t="n">
        <v>46310</v>
      </c>
      <c r="F54" t="inlineStr">
        <is>
          <t>SKÅNE LÄN</t>
        </is>
      </c>
      <c r="G54" t="inlineStr">
        <is>
          <t>BROMÖLLA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31404-2025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45833</v>
      </c>
      <c r="E55" s="1" t="n">
        <v>46310</v>
      </c>
      <c r="F55" t="inlineStr">
        <is>
          <t>SKÅNE LÄN</t>
        </is>
      </c>
      <c r="G55" t="inlineStr">
        <is>
          <t>BROMÖLLA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45674</v>
      </c>
      <c r="E56" s="1" t="n">
        <v>46310</v>
      </c>
      <c r="F56" t="inlineStr">
        <is>
          <t>SKÅNE LÄN</t>
        </is>
      </c>
      <c r="G56" t="inlineStr">
        <is>
          <t>BROMÖLLA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46310</v>
      </c>
      <c r="F57" t="inlineStr">
        <is>
          <t>SKÅNE LÄN</t>
        </is>
      </c>
      <c r="G57" t="inlineStr">
        <is>
          <t>BROMÖLLA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40719-2022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44824</v>
      </c>
      <c r="E58" s="1" t="n">
        <v>46310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43276-2023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46310</v>
      </c>
      <c r="F59" t="inlineStr">
        <is>
          <t>SKÅNE LÄN</t>
        </is>
      </c>
      <c r="G59" t="inlineStr">
        <is>
          <t>BROMÖLLA</t>
        </is>
      </c>
      <c r="I59" t="n">
        <v>5.6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60055-2025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45993</v>
      </c>
      <c r="E60" s="1" t="n">
        <v>46310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45996</v>
      </c>
      <c r="E61" s="1" t="n">
        <v>46310</v>
      </c>
      <c r="F61" t="inlineStr">
        <is>
          <t>SKÅNE LÄN</t>
        </is>
      </c>
      <c r="G61" t="inlineStr">
        <is>
          <t>BROMÖLLA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46310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45512</v>
      </c>
      <c r="E63" s="1" t="n">
        <v>46310</v>
      </c>
      <c r="F63" t="inlineStr">
        <is>
          <t>SKÅNE LÄN</t>
        </is>
      </c>
      <c r="G63" t="inlineStr">
        <is>
          <t>BROMÖLLA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51078-2025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45947</v>
      </c>
      <c r="E64" s="1" t="n">
        <v>46310</v>
      </c>
      <c r="F64" t="inlineStr">
        <is>
          <t>SKÅNE LÄN</t>
        </is>
      </c>
      <c r="G64" t="inlineStr">
        <is>
          <t>BROMÖLLA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45365</v>
      </c>
      <c r="E65" s="1" t="n">
        <v>46310</v>
      </c>
      <c r="F65" t="inlineStr">
        <is>
          <t>SKÅNE LÄN</t>
        </is>
      </c>
      <c r="G65" t="inlineStr">
        <is>
          <t>BROMÖLLA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45866</v>
      </c>
      <c r="E66" s="1" t="n">
        <v>46310</v>
      </c>
      <c r="F66" t="inlineStr">
        <is>
          <t>SKÅNE LÄN</t>
        </is>
      </c>
      <c r="G66" t="inlineStr">
        <is>
          <t>BROMÖLLA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46310</v>
      </c>
      <c r="F67" t="inlineStr">
        <is>
          <t>SKÅNE LÄN</t>
        </is>
      </c>
      <c r="G67" t="inlineStr">
        <is>
          <t>BROMÖLLA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34216-2023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46310</v>
      </c>
      <c r="F68" t="inlineStr">
        <is>
          <t>SKÅNE LÄN</t>
        </is>
      </c>
      <c r="G68" t="inlineStr">
        <is>
          <t>BROMÖLLA</t>
        </is>
      </c>
      <c r="H68" t="inlineStr">
        <is>
          <t>Kyrkan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35798-2023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46310</v>
      </c>
      <c r="F69" t="inlineStr">
        <is>
          <t>SKÅNE LÄN</t>
        </is>
      </c>
      <c r="G69" t="inlineStr">
        <is>
          <t>BROMÖLLA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20136-2026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46136</v>
      </c>
      <c r="E70" s="1" t="n">
        <v>46310</v>
      </c>
      <c r="F70" t="inlineStr">
        <is>
          <t>SKÅNE LÄN</t>
        </is>
      </c>
      <c r="G70" t="inlineStr">
        <is>
          <t>BROMÖLLA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17253-2023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45033</v>
      </c>
      <c r="E71" s="1" t="n">
        <v>46310</v>
      </c>
      <c r="F71" t="inlineStr">
        <is>
          <t>SKÅNE LÄN</t>
        </is>
      </c>
      <c r="G71" t="inlineStr">
        <is>
          <t>BROMÖLLA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28870-2023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45104</v>
      </c>
      <c r="E72" s="1" t="n">
        <v>46310</v>
      </c>
      <c r="F72" t="inlineStr">
        <is>
          <t>SKÅNE LÄN</t>
        </is>
      </c>
      <c r="G72" t="inlineStr">
        <is>
          <t>BROMÖLLA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45384</v>
      </c>
      <c r="E73" s="1" t="n">
        <v>46310</v>
      </c>
      <c r="F73" t="inlineStr">
        <is>
          <t>SKÅNE LÄN</t>
        </is>
      </c>
      <c r="G73" t="inlineStr">
        <is>
          <t>BROMÖLLA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46310</v>
      </c>
      <c r="F74" t="inlineStr">
        <is>
          <t>SKÅNE LÄN</t>
        </is>
      </c>
      <c r="G74" t="inlineStr">
        <is>
          <t>BROMÖLLA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46310</v>
      </c>
      <c r="F75" t="inlineStr">
        <is>
          <t>SKÅNE LÄN</t>
        </is>
      </c>
      <c r="G75" t="inlineStr">
        <is>
          <t>BROMÖLLA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46310</v>
      </c>
      <c r="F76" t="inlineStr">
        <is>
          <t>SKÅNE LÄN</t>
        </is>
      </c>
      <c r="G76" t="inlineStr">
        <is>
          <t>BROMÖLLA</t>
        </is>
      </c>
      <c r="H76" t="inlineStr">
        <is>
          <t>Kyrkan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46310</v>
      </c>
      <c r="F77" t="inlineStr">
        <is>
          <t>SKÅNE LÄN</t>
        </is>
      </c>
      <c r="G77" t="inlineStr">
        <is>
          <t>BROMÖLLA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46184</v>
      </c>
      <c r="E78" s="1" t="n">
        <v>46310</v>
      </c>
      <c r="F78" t="inlineStr">
        <is>
          <t>SKÅNE LÄN</t>
        </is>
      </c>
      <c r="G78" t="inlineStr">
        <is>
          <t>BROMÖLLA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28129-2026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46310</v>
      </c>
      <c r="F79" t="inlineStr">
        <is>
          <t>SKÅNE LÄN</t>
        </is>
      </c>
      <c r="G79" t="inlineStr">
        <is>
          <t>BROMÖLLA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46310</v>
      </c>
      <c r="F80" t="inlineStr">
        <is>
          <t>SKÅNE LÄN</t>
        </is>
      </c>
      <c r="G80" t="inlineStr">
        <is>
          <t>BROMÖLLA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46310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46310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44993</v>
      </c>
      <c r="E83" s="1" t="n">
        <v>46310</v>
      </c>
      <c r="F83" t="inlineStr">
        <is>
          <t>SKÅNE LÄN</t>
        </is>
      </c>
      <c r="G83" t="inlineStr">
        <is>
          <t>BROMÖLLA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46310</v>
      </c>
      <c r="F84" t="inlineStr">
        <is>
          <t>SKÅNE LÄN</t>
        </is>
      </c>
      <c r="G84" t="inlineStr">
        <is>
          <t>BROMÖLLA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46310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46310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46310</v>
      </c>
      <c r="F87" t="inlineStr">
        <is>
          <t>SKÅNE LÄN</t>
        </is>
      </c>
      <c r="G87" t="inlineStr">
        <is>
          <t>BROMÖLLA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46310</v>
      </c>
      <c r="F88" t="inlineStr">
        <is>
          <t>SKÅNE LÄN</t>
        </is>
      </c>
      <c r="G88" t="inlineStr">
        <is>
          <t>BROMÖLLA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45148</v>
      </c>
      <c r="E89" s="1" t="n">
        <v>46310</v>
      </c>
      <c r="F89" t="inlineStr">
        <is>
          <t>SKÅNE LÄN</t>
        </is>
      </c>
      <c r="G89" t="inlineStr">
        <is>
          <t>BROMÖLLA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46310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46310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46310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46310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40177-2026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46290</v>
      </c>
      <c r="E94" s="1" t="n">
        <v>46310</v>
      </c>
      <c r="F94" t="inlineStr">
        <is>
          <t>SKÅNE LÄN</t>
        </is>
      </c>
      <c r="G94" t="inlineStr">
        <is>
          <t>BROMÖLLA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45208</v>
      </c>
      <c r="E95" s="1" t="n">
        <v>46310</v>
      </c>
      <c r="F95" t="inlineStr">
        <is>
          <t>SKÅNE LÄN</t>
        </is>
      </c>
      <c r="G95" t="inlineStr">
        <is>
          <t>BROMÖLLA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46290</v>
      </c>
      <c r="E96" s="1" t="n">
        <v>46310</v>
      </c>
      <c r="F96" t="inlineStr">
        <is>
          <t>SKÅNE LÄN</t>
        </is>
      </c>
      <c r="G96" t="inlineStr">
        <is>
          <t>BROMÖLLA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46310</v>
      </c>
      <c r="F97" t="inlineStr">
        <is>
          <t>SKÅNE LÄN</t>
        </is>
      </c>
      <c r="G97" t="inlineStr">
        <is>
          <t>BROMÖLLA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46300</v>
      </c>
      <c r="E98" s="1" t="n">
        <v>46310</v>
      </c>
      <c r="F98" t="inlineStr">
        <is>
          <t>SKÅNE LÄN</t>
        </is>
      </c>
      <c r="G98" t="inlineStr">
        <is>
          <t>BROMÖLLA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42333-2023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45180</v>
      </c>
      <c r="E99" s="1" t="n">
        <v>46310</v>
      </c>
      <c r="F99" t="inlineStr">
        <is>
          <t>SKÅNE LÄN</t>
        </is>
      </c>
      <c r="G99" t="inlineStr">
        <is>
          <t>BROMÖLLA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45357</v>
      </c>
      <c r="E100" s="1" t="n">
        <v>46310</v>
      </c>
      <c r="F100" t="inlineStr">
        <is>
          <t>SKÅNE LÄN</t>
        </is>
      </c>
      <c r="G100" t="inlineStr">
        <is>
          <t>BROMÖLLA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46310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17517-2024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45415</v>
      </c>
      <c r="E102" s="1" t="n">
        <v>46310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46183</v>
      </c>
      <c r="E103" s="1" t="n">
        <v>46310</v>
      </c>
      <c r="F103" t="inlineStr">
        <is>
          <t>SKÅNE LÄN</t>
        </is>
      </c>
      <c r="G103" t="inlineStr">
        <is>
          <t>BROMÖLLA</t>
        </is>
      </c>
      <c r="I103" t="n">
        <v>15.6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46310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46310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46310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46310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46310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46310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46310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46310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46310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46310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46310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46310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46310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46310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46310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46310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46310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46310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46310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46310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2026-10-15T02:00:32Z</dcterms:created>
  <dcterms:modified xmlns:dcterms="http://purl.org/dc/terms/" xmlns:xsi="http://www.w3.org/2001/XMLSchema-instance" xsi:type="dcterms:W3CDTF">2026-10-15T02:00:32Z</dcterms:modified>
</cp:coreProperties>
</file>