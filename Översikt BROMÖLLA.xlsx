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46197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46197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46197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46197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52972-2023</t>
        </is>
      </c>
      <c r="B6" s="1" t="n">
        <v>45222</v>
      </c>
      <c r="C6" s="1" t="n">
        <v>46197</v>
      </c>
      <c r="D6" t="inlineStr">
        <is>
          <t>SKÅNE LÄN</t>
        </is>
      </c>
      <c r="E6" t="inlineStr">
        <is>
          <t>BROMÖLLA</t>
        </is>
      </c>
      <c r="G6" t="n">
        <v>6.4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HYPERLINK("https://klasma.github.io/Logging_1272/artfynd/A 52972-2023 artfynd.xlsx", "A 52972-2023")</f>
        <v/>
      </c>
      <c r="T6">
        <f>HYPERLINK("https://klasma.github.io/Logging_1272/kartor/A 52972-2023 karta.png", "A 52972-2023")</f>
        <v/>
      </c>
      <c r="V6">
        <f>HYPERLINK("https://klasma.github.io/Logging_1272/klagomål/A 52972-2023 FSC-klagomål.docx", "A 52972-2023")</f>
        <v/>
      </c>
      <c r="W6">
        <f>HYPERLINK("https://klasma.github.io/Logging_1272/klagomålsmail/A 52972-2023 FSC-klagomål mail.docx", "A 52972-2023")</f>
        <v/>
      </c>
      <c r="X6">
        <f>HYPERLINK("https://klasma.github.io/Logging_1272/tillsyn/A 52972-2023 tillsynsbegäran.docx", "A 52972-2023")</f>
        <v/>
      </c>
      <c r="Y6">
        <f>HYPERLINK("https://klasma.github.io/Logging_1272/tillsynsmail/A 52972-2023 tillsynsbegäran mail.docx", "A 52972-2023")</f>
        <v/>
      </c>
    </row>
    <row r="7" ht="15" customHeight="1">
      <c r="A7" t="inlineStr">
        <is>
          <t>A 8362-2026</t>
        </is>
      </c>
      <c r="B7" s="1" t="n">
        <v>46064</v>
      </c>
      <c r="C7" s="1" t="n">
        <v>46197</v>
      </c>
      <c r="D7" t="inlineStr">
        <is>
          <t>SKÅNE LÄN</t>
        </is>
      </c>
      <c r="E7" t="inlineStr">
        <is>
          <t>BROMÖLLA</t>
        </is>
      </c>
      <c r="G7" t="n">
        <v>2.7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Rödlånke</t>
        </is>
      </c>
      <c r="S7">
        <f>HYPERLINK("https://klasma.github.io/Logging_1272/artfynd/A 8362-2026 artfynd.xlsx", "A 8362-2026")</f>
        <v/>
      </c>
      <c r="T7">
        <f>HYPERLINK("https://klasma.github.io/Logging_1272/kartor/A 8362-2026 karta.png", "A 8362-2026")</f>
        <v/>
      </c>
      <c r="V7">
        <f>HYPERLINK("https://klasma.github.io/Logging_1272/klagomål/A 8362-2026 FSC-klagomål.docx", "A 8362-2026")</f>
        <v/>
      </c>
      <c r="W7">
        <f>HYPERLINK("https://klasma.github.io/Logging_1272/klagomålsmail/A 8362-2026 FSC-klagomål mail.docx", "A 8362-2026")</f>
        <v/>
      </c>
      <c r="X7">
        <f>HYPERLINK("https://klasma.github.io/Logging_1272/tillsyn/A 8362-2026 tillsynsbegäran.docx", "A 8362-2026")</f>
        <v/>
      </c>
      <c r="Y7">
        <f>HYPERLINK("https://klasma.github.io/Logging_1272/tillsynsmail/A 8362-2026 tillsynsbegäran mail.docx", "A 8362-2026")</f>
        <v/>
      </c>
    </row>
    <row r="8" ht="15" customHeight="1">
      <c r="A8" t="inlineStr">
        <is>
          <t>A 17522-2026</t>
        </is>
      </c>
      <c r="B8" s="1" t="n">
        <v>46120</v>
      </c>
      <c r="C8" s="1" t="n">
        <v>46197</v>
      </c>
      <c r="D8" t="inlineStr">
        <is>
          <t>SKÅNE LÄN</t>
        </is>
      </c>
      <c r="E8" t="inlineStr">
        <is>
          <t>BROMÖLLA</t>
        </is>
      </c>
      <c r="G8" t="n">
        <v>6.4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Sminkrot</t>
        </is>
      </c>
      <c r="S8">
        <f>HYPERLINK("https://klasma.github.io/Logging_1272/artfynd/A 17522-2026 artfynd.xlsx", "A 17522-2026")</f>
        <v/>
      </c>
      <c r="T8">
        <f>HYPERLINK("https://klasma.github.io/Logging_1272/kartor/A 17522-2026 karta.png", "A 17522-2026")</f>
        <v/>
      </c>
      <c r="V8">
        <f>HYPERLINK("https://klasma.github.io/Logging_1272/klagomål/A 17522-2026 FSC-klagomål.docx", "A 17522-2026")</f>
        <v/>
      </c>
      <c r="W8">
        <f>HYPERLINK("https://klasma.github.io/Logging_1272/klagomålsmail/A 17522-2026 FSC-klagomål mail.docx", "A 17522-2026")</f>
        <v/>
      </c>
      <c r="X8">
        <f>HYPERLINK("https://klasma.github.io/Logging_1272/tillsyn/A 17522-2026 tillsynsbegäran.docx", "A 17522-2026")</f>
        <v/>
      </c>
      <c r="Y8">
        <f>HYPERLINK("https://klasma.github.io/Logging_1272/tillsynsmail/A 17522-2026 tillsynsbegäran mail.docx", "A 17522-2026")</f>
        <v/>
      </c>
    </row>
    <row r="9" ht="15" customHeight="1">
      <c r="A9" t="inlineStr">
        <is>
          <t>A 35397-2025</t>
        </is>
      </c>
      <c r="B9" s="1" t="n">
        <v>45854</v>
      </c>
      <c r="C9" s="1" t="n">
        <v>46197</v>
      </c>
      <c r="D9" t="inlineStr">
        <is>
          <t>SKÅNE LÄN</t>
        </is>
      </c>
      <c r="E9" t="inlineStr">
        <is>
          <t>BROMÖLLA</t>
        </is>
      </c>
      <c r="G9" t="n">
        <v>8.4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Skogsbräsma</t>
        </is>
      </c>
      <c r="S9">
        <f>HYPERLINK("https://klasma.github.io/Logging_1272/artfynd/A 35397-2025 artfynd.xlsx", "A 35397-2025")</f>
        <v/>
      </c>
      <c r="T9">
        <f>HYPERLINK("https://klasma.github.io/Logging_1272/kartor/A 35397-2025 karta.png", "A 35397-2025")</f>
        <v/>
      </c>
      <c r="V9">
        <f>HYPERLINK("https://klasma.github.io/Logging_1272/klagomål/A 35397-2025 FSC-klagomål.docx", "A 35397-2025")</f>
        <v/>
      </c>
      <c r="W9">
        <f>HYPERLINK("https://klasma.github.io/Logging_1272/klagomålsmail/A 35397-2025 FSC-klagomål mail.docx", "A 35397-2025")</f>
        <v/>
      </c>
      <c r="X9">
        <f>HYPERLINK("https://klasma.github.io/Logging_1272/tillsyn/A 35397-2025 tillsynsbegäran.docx", "A 35397-2025")</f>
        <v/>
      </c>
      <c r="Y9">
        <f>HYPERLINK("https://klasma.github.io/Logging_1272/tillsynsmail/A 35397-2025 tillsynsbegäran mail.docx", "A 35397-2025")</f>
        <v/>
      </c>
    </row>
    <row r="10" ht="15" customHeight="1">
      <c r="A10" t="inlineStr">
        <is>
          <t>A 20426-2023</t>
        </is>
      </c>
      <c r="B10" s="1" t="n">
        <v>45056</v>
      </c>
      <c r="C10" s="1" t="n">
        <v>46197</v>
      </c>
      <c r="D10" t="inlineStr">
        <is>
          <t>SKÅNE LÄN</t>
        </is>
      </c>
      <c r="E10" t="inlineStr">
        <is>
          <t>BROMÖLLA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Hålnunneört</t>
        </is>
      </c>
      <c r="S10">
        <f>HYPERLINK("https://klasma.github.io/Logging_1272/artfynd/A 20426-2023 artfynd.xlsx", "A 20426-2023")</f>
        <v/>
      </c>
      <c r="T10">
        <f>HYPERLINK("https://klasma.github.io/Logging_1272/kartor/A 20426-2023 karta.png", "A 20426-2023")</f>
        <v/>
      </c>
      <c r="V10">
        <f>HYPERLINK("https://klasma.github.io/Logging_1272/klagomål/A 20426-2023 FSC-klagomål.docx", "A 20426-2023")</f>
        <v/>
      </c>
      <c r="W10">
        <f>HYPERLINK("https://klasma.github.io/Logging_1272/klagomålsmail/A 20426-2023 FSC-klagomål mail.docx", "A 20426-2023")</f>
        <v/>
      </c>
      <c r="X10">
        <f>HYPERLINK("https://klasma.github.io/Logging_1272/tillsyn/A 20426-2023 tillsynsbegäran.docx", "A 20426-2023")</f>
        <v/>
      </c>
      <c r="Y10">
        <f>HYPERLINK("https://klasma.github.io/Logging_1272/tillsynsmail/A 20426-2023 tillsynsbegäran mail.docx", "A 20426-2023")</f>
        <v/>
      </c>
    </row>
    <row r="11" ht="15" customHeight="1">
      <c r="A11" t="inlineStr">
        <is>
          <t>A 24688-2025</t>
        </is>
      </c>
      <c r="B11" s="1" t="n">
        <v>45798</v>
      </c>
      <c r="C11" s="1" t="n">
        <v>46197</v>
      </c>
      <c r="D11" t="inlineStr">
        <is>
          <t>SKÅNE LÄN</t>
        </is>
      </c>
      <c r="E11" t="inlineStr">
        <is>
          <t>BROMÖLLA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Järnsparv</t>
        </is>
      </c>
      <c r="S11">
        <f>HYPERLINK("https://klasma.github.io/Logging_1272/artfynd/A 24688-2025 artfynd.xlsx", "A 24688-2025")</f>
        <v/>
      </c>
      <c r="T11">
        <f>HYPERLINK("https://klasma.github.io/Logging_1272/kartor/A 24688-2025 karta.png", "A 24688-2025")</f>
        <v/>
      </c>
      <c r="V11">
        <f>HYPERLINK("https://klasma.github.io/Logging_1272/klagomål/A 24688-2025 FSC-klagomål.docx", "A 24688-2025")</f>
        <v/>
      </c>
      <c r="W11">
        <f>HYPERLINK("https://klasma.github.io/Logging_1272/klagomålsmail/A 24688-2025 FSC-klagomål mail.docx", "A 24688-2025")</f>
        <v/>
      </c>
      <c r="X11">
        <f>HYPERLINK("https://klasma.github.io/Logging_1272/tillsyn/A 24688-2025 tillsynsbegäran.docx", "A 24688-2025")</f>
        <v/>
      </c>
      <c r="Y11">
        <f>HYPERLINK("https://klasma.github.io/Logging_1272/tillsynsmail/A 24688-2025 tillsynsbegäran mail.docx", "A 24688-2025")</f>
        <v/>
      </c>
      <c r="Z11">
        <f>HYPERLINK("https://klasma.github.io/Logging_1272/fåglar/A 24688-2025 prioriterade fågelarter.docx", "A 24688-2025")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46197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</v>
      </c>
      <c r="C13" s="1" t="n">
        <v>46197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</v>
      </c>
      <c r="C14" s="1" t="n">
        <v>46197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</v>
      </c>
      <c r="C15" s="1" t="n">
        <v>46197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46197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</v>
      </c>
      <c r="C17" s="1" t="n">
        <v>46197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42963-2022</t>
        </is>
      </c>
      <c r="B18" s="1" t="n">
        <v>44833</v>
      </c>
      <c r="C18" s="1" t="n">
        <v>46197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41896-2021</t>
        </is>
      </c>
      <c r="B19" s="1" t="n">
        <v>44426</v>
      </c>
      <c r="C19" s="1" t="n">
        <v>46197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46197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46197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</v>
      </c>
      <c r="C22" s="1" t="n">
        <v>46197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46197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10275-2024</t>
        </is>
      </c>
      <c r="B24" s="1" t="n">
        <v>45365</v>
      </c>
      <c r="C24" s="1" t="n">
        <v>46197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31649-2023</t>
        </is>
      </c>
      <c r="B25" s="1" t="n">
        <v>45117</v>
      </c>
      <c r="C25" s="1" t="n">
        <v>46197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745-2024</t>
        </is>
      </c>
      <c r="B26" s="1" t="n">
        <v>45300</v>
      </c>
      <c r="C26" s="1" t="n">
        <v>46197</v>
      </c>
      <c r="D26" t="inlineStr">
        <is>
          <t>SKÅNE LÄN</t>
        </is>
      </c>
      <c r="E26" t="inlineStr">
        <is>
          <t>BROMÖLLA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49831-2022</t>
        </is>
      </c>
      <c r="B27" s="1" t="n">
        <v>44862</v>
      </c>
      <c r="C27" s="1" t="n">
        <v>46197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34216-2023</t>
        </is>
      </c>
      <c r="B28" s="1" t="n">
        <v>45126</v>
      </c>
      <c r="C28" s="1" t="n">
        <v>46197</v>
      </c>
      <c r="D28" t="inlineStr">
        <is>
          <t>SKÅNE LÄN</t>
        </is>
      </c>
      <c r="E28" t="inlineStr">
        <is>
          <t>BROMÖLLA</t>
        </is>
      </c>
      <c r="F28" t="inlineStr">
        <is>
          <t>Kyrkan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42912-2024</t>
        </is>
      </c>
      <c r="B29" s="1" t="n">
        <v>45566</v>
      </c>
      <c r="C29" s="1" t="n">
        <v>46197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</v>
      </c>
      <c r="C30" s="1" t="n">
        <v>46197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</v>
      </c>
      <c r="C31" s="1" t="n">
        <v>46197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41309-2025</t>
        </is>
      </c>
      <c r="B32" s="1" t="n">
        <v>45898</v>
      </c>
      <c r="C32" s="1" t="n">
        <v>46197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61701-2022</t>
        </is>
      </c>
      <c r="B33" s="1" t="n">
        <v>44911</v>
      </c>
      <c r="C33" s="1" t="n">
        <v>46197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30112-2023</t>
        </is>
      </c>
      <c r="B34" s="1" t="n">
        <v>45110</v>
      </c>
      <c r="C34" s="1" t="n">
        <v>46197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576-2024</t>
        </is>
      </c>
      <c r="B35" s="1" t="n">
        <v>45299</v>
      </c>
      <c r="C35" s="1" t="n">
        <v>46197</v>
      </c>
      <c r="D35" t="inlineStr">
        <is>
          <t>SKÅNE LÄN</t>
        </is>
      </c>
      <c r="E35" t="inlineStr">
        <is>
          <t>BROMÖLLA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27965-2025</t>
        </is>
      </c>
      <c r="B36" s="1" t="n">
        <v>45817</v>
      </c>
      <c r="C36" s="1" t="n">
        <v>46197</v>
      </c>
      <c r="D36" t="inlineStr">
        <is>
          <t>SKÅNE LÄN</t>
        </is>
      </c>
      <c r="E36" t="inlineStr">
        <is>
          <t>BROMÖLLA</t>
        </is>
      </c>
      <c r="G36" t="n">
        <v>12.7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57181-2024</t>
        </is>
      </c>
      <c r="B37" s="1" t="n">
        <v>45629</v>
      </c>
      <c r="C37" s="1" t="n">
        <v>46197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11861-2025</t>
        </is>
      </c>
      <c r="B38" s="1" t="n">
        <v>45728</v>
      </c>
      <c r="C38" s="1" t="n">
        <v>46197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2453-2025</t>
        </is>
      </c>
      <c r="B39" s="1" t="n">
        <v>45674</v>
      </c>
      <c r="C39" s="1" t="n">
        <v>46197</v>
      </c>
      <c r="D39" t="inlineStr">
        <is>
          <t>SKÅNE LÄN</t>
        </is>
      </c>
      <c r="E39" t="inlineStr">
        <is>
          <t>BROMÖLLA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2448-2025</t>
        </is>
      </c>
      <c r="B40" s="1" t="n">
        <v>45674</v>
      </c>
      <c r="C40" s="1" t="n">
        <v>46197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17253-2023</t>
        </is>
      </c>
      <c r="B41" s="1" t="n">
        <v>45033</v>
      </c>
      <c r="C41" s="1" t="n">
        <v>46197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41253-2023</t>
        </is>
      </c>
      <c r="B42" s="1" t="n">
        <v>45174</v>
      </c>
      <c r="C42" s="1" t="n">
        <v>46197</v>
      </c>
      <c r="D42" t="inlineStr">
        <is>
          <t>SKÅNE LÄN</t>
        </is>
      </c>
      <c r="E42" t="inlineStr">
        <is>
          <t>BROMÖLLA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35804-2023</t>
        </is>
      </c>
      <c r="B43" s="1" t="n">
        <v>45148</v>
      </c>
      <c r="C43" s="1" t="n">
        <v>46197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8366-2026</t>
        </is>
      </c>
      <c r="B44" s="1" t="n">
        <v>46064</v>
      </c>
      <c r="C44" s="1" t="n">
        <v>46197</v>
      </c>
      <c r="D44" t="inlineStr">
        <is>
          <t>SKÅNE LÄN</t>
        </is>
      </c>
      <c r="E44" t="inlineStr">
        <is>
          <t>BROMÖLLA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52307-2023</t>
        </is>
      </c>
      <c r="B45" s="1" t="n">
        <v>45217</v>
      </c>
      <c r="C45" s="1" t="n">
        <v>46197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30089-2023</t>
        </is>
      </c>
      <c r="B46" s="1" t="n">
        <v>45110</v>
      </c>
      <c r="C46" s="1" t="n">
        <v>46197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46733-2023</t>
        </is>
      </c>
      <c r="B47" s="1" t="n">
        <v>45195</v>
      </c>
      <c r="C47" s="1" t="n">
        <v>46197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56360-2023</t>
        </is>
      </c>
      <c r="B48" s="1" t="n">
        <v>45243</v>
      </c>
      <c r="C48" s="1" t="n">
        <v>46197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55762-2025</t>
        </is>
      </c>
      <c r="B49" s="1" t="n">
        <v>45972</v>
      </c>
      <c r="C49" s="1" t="n">
        <v>46197</v>
      </c>
      <c r="D49" t="inlineStr">
        <is>
          <t>SKÅNE LÄN</t>
        </is>
      </c>
      <c r="E49" t="inlineStr">
        <is>
          <t>BROMÖLLA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9508-2026</t>
        </is>
      </c>
      <c r="B50" s="1" t="n">
        <v>46071</v>
      </c>
      <c r="C50" s="1" t="n">
        <v>46197</v>
      </c>
      <c r="D50" t="inlineStr">
        <is>
          <t>SKÅNE LÄN</t>
        </is>
      </c>
      <c r="E50" t="inlineStr">
        <is>
          <t>BROMÖLLA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9509-2026</t>
        </is>
      </c>
      <c r="B51" s="1" t="n">
        <v>46071</v>
      </c>
      <c r="C51" s="1" t="n">
        <v>46197</v>
      </c>
      <c r="D51" t="inlineStr">
        <is>
          <t>SKÅNE LÄN</t>
        </is>
      </c>
      <c r="E51" t="inlineStr">
        <is>
          <t>BROMÖLLA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9166-2025</t>
        </is>
      </c>
      <c r="B52" s="1" t="n">
        <v>45714</v>
      </c>
      <c r="C52" s="1" t="n">
        <v>46197</v>
      </c>
      <c r="D52" t="inlineStr">
        <is>
          <t>SKÅNE LÄN</t>
        </is>
      </c>
      <c r="E52" t="inlineStr">
        <is>
          <t>BROMÖLLA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31404-2025</t>
        </is>
      </c>
      <c r="B53" s="1" t="n">
        <v>45833</v>
      </c>
      <c r="C53" s="1" t="n">
        <v>46197</v>
      </c>
      <c r="D53" t="inlineStr">
        <is>
          <t>SKÅNE LÄN</t>
        </is>
      </c>
      <c r="E53" t="inlineStr">
        <is>
          <t>BROMÖLLA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30075-2023</t>
        </is>
      </c>
      <c r="B54" s="1" t="n">
        <v>45110</v>
      </c>
      <c r="C54" s="1" t="n">
        <v>46197</v>
      </c>
      <c r="D54" t="inlineStr">
        <is>
          <t>SKÅNE LÄN</t>
        </is>
      </c>
      <c r="E54" t="inlineStr">
        <is>
          <t>BROMÖLLA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60055-2025</t>
        </is>
      </c>
      <c r="B55" s="1" t="n">
        <v>45993</v>
      </c>
      <c r="C55" s="1" t="n">
        <v>46197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60698-2025</t>
        </is>
      </c>
      <c r="B56" s="1" t="n">
        <v>45996</v>
      </c>
      <c r="C56" s="1" t="n">
        <v>46197</v>
      </c>
      <c r="D56" t="inlineStr">
        <is>
          <t>SKÅNE LÄN</t>
        </is>
      </c>
      <c r="E56" t="inlineStr">
        <is>
          <t>BROMÖLLA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60696-2025</t>
        </is>
      </c>
      <c r="B57" s="1" t="n">
        <v>45996</v>
      </c>
      <c r="C57" s="1" t="n">
        <v>46197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43276-2023</t>
        </is>
      </c>
      <c r="B58" s="1" t="n">
        <v>45180</v>
      </c>
      <c r="C58" s="1" t="n">
        <v>46197</v>
      </c>
      <c r="D58" t="inlineStr">
        <is>
          <t>SKÅNE LÄN</t>
        </is>
      </c>
      <c r="E58" t="inlineStr">
        <is>
          <t>BROMÖLLA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60961-2025</t>
        </is>
      </c>
      <c r="B59" s="1" t="n">
        <v>45999</v>
      </c>
      <c r="C59" s="1" t="n">
        <v>46197</v>
      </c>
      <c r="D59" t="inlineStr">
        <is>
          <t>SKÅNE LÄN</t>
        </is>
      </c>
      <c r="E59" t="inlineStr">
        <is>
          <t>BROMÖLLA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21980-2023</t>
        </is>
      </c>
      <c r="B60" s="1" t="n">
        <v>45068</v>
      </c>
      <c r="C60" s="1" t="n">
        <v>46197</v>
      </c>
      <c r="D60" t="inlineStr">
        <is>
          <t>SKÅNE LÄN</t>
        </is>
      </c>
      <c r="E60" t="inlineStr">
        <is>
          <t>BROMÖLLA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9167-2025</t>
        </is>
      </c>
      <c r="B61" s="1" t="n">
        <v>45714</v>
      </c>
      <c r="C61" s="1" t="n">
        <v>46197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39455-2024</t>
        </is>
      </c>
      <c r="B62" s="1" t="n">
        <v>45551</v>
      </c>
      <c r="C62" s="1" t="n">
        <v>46197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42333-2023</t>
        </is>
      </c>
      <c r="B63" s="1" t="n">
        <v>45180</v>
      </c>
      <c r="C63" s="1" t="n">
        <v>46197</v>
      </c>
      <c r="D63" t="inlineStr">
        <is>
          <t>SKÅNE LÄN</t>
        </is>
      </c>
      <c r="E63" t="inlineStr">
        <is>
          <t>BROMÖLLA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36086-2025</t>
        </is>
      </c>
      <c r="B64" s="1" t="n">
        <v>45866</v>
      </c>
      <c r="C64" s="1" t="n">
        <v>46197</v>
      </c>
      <c r="D64" t="inlineStr">
        <is>
          <t>SKÅNE LÄN</t>
        </is>
      </c>
      <c r="E64" t="inlineStr">
        <is>
          <t>BROMÖLLA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54689-2023</t>
        </is>
      </c>
      <c r="B65" s="1" t="n">
        <v>45235</v>
      </c>
      <c r="C65" s="1" t="n">
        <v>46197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30101-2023</t>
        </is>
      </c>
      <c r="B66" s="1" t="n">
        <v>45110</v>
      </c>
      <c r="C66" s="1" t="n">
        <v>46197</v>
      </c>
      <c r="D66" t="inlineStr">
        <is>
          <t>SKÅNE LÄN</t>
        </is>
      </c>
      <c r="E66" t="inlineStr">
        <is>
          <t>BROMÖLLA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42748-2022</t>
        </is>
      </c>
      <c r="B67" s="1" t="n">
        <v>44831</v>
      </c>
      <c r="C67" s="1" t="n">
        <v>46197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35802-2023</t>
        </is>
      </c>
      <c r="B68" s="1" t="n">
        <v>45148</v>
      </c>
      <c r="C68" s="1" t="n">
        <v>46197</v>
      </c>
      <c r="D68" t="inlineStr">
        <is>
          <t>SKÅNE LÄN</t>
        </is>
      </c>
      <c r="E68" t="inlineStr">
        <is>
          <t>BROMÖLLA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24528-2026</t>
        </is>
      </c>
      <c r="B69" s="1" t="n">
        <v>46170</v>
      </c>
      <c r="C69" s="1" t="n">
        <v>46197</v>
      </c>
      <c r="D69" t="inlineStr">
        <is>
          <t>SKÅNE LÄN</t>
        </is>
      </c>
      <c r="E69" t="inlineStr">
        <is>
          <t>BROMÖLLA</t>
        </is>
      </c>
      <c r="G69" t="n">
        <v>13.5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40719-2022</t>
        </is>
      </c>
      <c r="B70" s="1" t="n">
        <v>44824</v>
      </c>
      <c r="C70" s="1" t="n">
        <v>46197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35798-2023</t>
        </is>
      </c>
      <c r="B71" s="1" t="n">
        <v>45148</v>
      </c>
      <c r="C71" s="1" t="n">
        <v>46197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20136-2026</t>
        </is>
      </c>
      <c r="B72" s="1" t="n">
        <v>46136</v>
      </c>
      <c r="C72" s="1" t="n">
        <v>46197</v>
      </c>
      <c r="D72" t="inlineStr">
        <is>
          <t>SKÅNE LÄN</t>
        </is>
      </c>
      <c r="E72" t="inlineStr">
        <is>
          <t>BROMÖLLA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51078-2025</t>
        </is>
      </c>
      <c r="B73" s="1" t="n">
        <v>45947</v>
      </c>
      <c r="C73" s="1" t="n">
        <v>46197</v>
      </c>
      <c r="D73" t="inlineStr">
        <is>
          <t>SKÅNE LÄN</t>
        </is>
      </c>
      <c r="E73" t="inlineStr">
        <is>
          <t>BROMÖLLA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5961-2025</t>
        </is>
      </c>
      <c r="B74" s="1" t="n">
        <v>45695</v>
      </c>
      <c r="C74" s="1" t="n">
        <v>46197</v>
      </c>
      <c r="D74" t="inlineStr">
        <is>
          <t>SKÅNE LÄN</t>
        </is>
      </c>
      <c r="E74" t="inlineStr">
        <is>
          <t>BROMÖLLA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32272-2024</t>
        </is>
      </c>
      <c r="B75" s="1" t="n">
        <v>45512</v>
      </c>
      <c r="C75" s="1" t="n">
        <v>46197</v>
      </c>
      <c r="D75" t="inlineStr">
        <is>
          <t>SKÅNE LÄN</t>
        </is>
      </c>
      <c r="E75" t="inlineStr">
        <is>
          <t>BROMÖLLA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56056-2023</t>
        </is>
      </c>
      <c r="B76" s="1" t="n">
        <v>45233</v>
      </c>
      <c r="C76" s="1" t="n">
        <v>46197</v>
      </c>
      <c r="D76" t="inlineStr">
        <is>
          <t>SKÅNE LÄN</t>
        </is>
      </c>
      <c r="E76" t="inlineStr">
        <is>
          <t>BROMÖLLA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41254-2023</t>
        </is>
      </c>
      <c r="B77" s="1" t="n">
        <v>45174</v>
      </c>
      <c r="C77" s="1" t="n">
        <v>46197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1566-2024</t>
        </is>
      </c>
      <c r="B78" s="1" t="n">
        <v>45306</v>
      </c>
      <c r="C78" s="1" t="n">
        <v>46197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36421-2022</t>
        </is>
      </c>
      <c r="B79" s="1" t="n">
        <v>44804</v>
      </c>
      <c r="C79" s="1" t="n">
        <v>46197</v>
      </c>
      <c r="D79" t="inlineStr">
        <is>
          <t>SKÅNE LÄN</t>
        </is>
      </c>
      <c r="E79" t="inlineStr">
        <is>
          <t>BROMÖLLA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26765-2026</t>
        </is>
      </c>
      <c r="B80" s="1" t="n">
        <v>46184</v>
      </c>
      <c r="C80" s="1" t="n">
        <v>46197</v>
      </c>
      <c r="D80" t="inlineStr">
        <is>
          <t>SKÅNE LÄN</t>
        </is>
      </c>
      <c r="E80" t="inlineStr">
        <is>
          <t>BROMÖLLA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26477-2026</t>
        </is>
      </c>
      <c r="B81" s="1" t="n">
        <v>46183</v>
      </c>
      <c r="C81" s="1" t="n">
        <v>46197</v>
      </c>
      <c r="D81" t="inlineStr">
        <is>
          <t>SKÅNE LÄN</t>
        </is>
      </c>
      <c r="E81" t="inlineStr">
        <is>
          <t>BROMÖLLA</t>
        </is>
      </c>
      <c r="G81" t="n">
        <v>15.6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48974-2025</t>
        </is>
      </c>
      <c r="B82" s="1" t="n">
        <v>45937</v>
      </c>
      <c r="C82" s="1" t="n">
        <v>46197</v>
      </c>
      <c r="D82" t="inlineStr">
        <is>
          <t>SKÅNE LÄN</t>
        </is>
      </c>
      <c r="E82" t="inlineStr">
        <is>
          <t>BROMÖLLA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11454-2023</t>
        </is>
      </c>
      <c r="B83" s="1" t="n">
        <v>44993</v>
      </c>
      <c r="C83" s="1" t="n">
        <v>46197</v>
      </c>
      <c r="D83" t="inlineStr">
        <is>
          <t>SKÅNE LÄN</t>
        </is>
      </c>
      <c r="E83" t="inlineStr">
        <is>
          <t>BROMÖLLA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28129-2026</t>
        </is>
      </c>
      <c r="B84" s="1" t="n">
        <v>46195</v>
      </c>
      <c r="C84" s="1" t="n">
        <v>46197</v>
      </c>
      <c r="D84" t="inlineStr">
        <is>
          <t>SKÅNE LÄN</t>
        </is>
      </c>
      <c r="E84" t="inlineStr">
        <is>
          <t>BROMÖLLA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12721-2023</t>
        </is>
      </c>
      <c r="B85" s="1" t="n">
        <v>45000</v>
      </c>
      <c r="C85" s="1" t="n">
        <v>46197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</v>
      </c>
      <c r="C86" s="1" t="n">
        <v>46197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46197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</v>
      </c>
      <c r="C88" s="1" t="n">
        <v>46197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17517-2024</t>
        </is>
      </c>
      <c r="B89" s="1" t="n">
        <v>45415</v>
      </c>
      <c r="C89" s="1" t="n">
        <v>46197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12685-2024</t>
        </is>
      </c>
      <c r="B90" s="1" t="n">
        <v>45384</v>
      </c>
      <c r="C90" s="1" t="n">
        <v>46197</v>
      </c>
      <c r="D90" t="inlineStr">
        <is>
          <t>SKÅNE LÄN</t>
        </is>
      </c>
      <c r="E90" t="inlineStr">
        <is>
          <t>BROMÖLLA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</v>
      </c>
      <c r="C91" s="1" t="n">
        <v>46197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42909-2024</t>
        </is>
      </c>
      <c r="B92" s="1" t="n">
        <v>45566</v>
      </c>
      <c r="C92" s="1" t="n">
        <v>46197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28870-2023</t>
        </is>
      </c>
      <c r="B93" s="1" t="n">
        <v>45104</v>
      </c>
      <c r="C93" s="1" t="n">
        <v>46197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814-2024</t>
        </is>
      </c>
      <c r="B94" s="1" t="n">
        <v>45300</v>
      </c>
      <c r="C94" s="1" t="n">
        <v>46197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55901-2024</t>
        </is>
      </c>
      <c r="B95" s="1" t="n">
        <v>45622</v>
      </c>
      <c r="C95" s="1" t="n">
        <v>46197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30407-2024</t>
        </is>
      </c>
      <c r="B96" s="1" t="n">
        <v>45491</v>
      </c>
      <c r="C96" s="1" t="n">
        <v>46197</v>
      </c>
      <c r="D96" t="inlineStr">
        <is>
          <t>SKÅNE LÄN</t>
        </is>
      </c>
      <c r="E96" t="inlineStr">
        <is>
          <t>BROMÖLLA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2026-06-24T00:48:09Z</dcterms:created>
  <dcterms:modified xmlns:dcterms="http://purl.org/dc/terms/" xmlns:xsi="http://www.w3.org/2001/XMLSchema-instance" xsi:type="dcterms:W3CDTF">2026-06-24T00:48:09Z</dcterms:modified>
</cp:coreProperties>
</file>