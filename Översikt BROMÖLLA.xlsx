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S 9703-2021</t>
        </is>
      </c>
      <c r="B2" t="inlineStr">
        <is>
          <t>samrådsanmälan</t>
        </is>
      </c>
      <c r="C2" t="inlineStr">
        <is>
          <t>Åtgärd i nyckelbiotop</t>
        </is>
      </c>
      <c r="D2" s="1" t="n">
        <v>44526</v>
      </c>
      <c r="E2" s="1" t="n">
        <v>46326</v>
      </c>
      <c r="F2" t="inlineStr">
        <is>
          <t>SKÅNE LÄN</t>
        </is>
      </c>
      <c r="G2" t="inlineStr">
        <is>
          <t>BROMÖLLA</t>
        </is>
      </c>
      <c r="I2" t="n">
        <v>10.7</v>
      </c>
      <c r="J2" t="n">
        <v>1</v>
      </c>
      <c r="K2" t="n">
        <v>8</v>
      </c>
      <c r="L2" t="n">
        <v>5</v>
      </c>
      <c r="M2" t="n">
        <v>2</v>
      </c>
      <c r="N2" t="n">
        <v>0</v>
      </c>
      <c r="O2" t="n">
        <v>0</v>
      </c>
      <c r="P2" t="n">
        <v>0</v>
      </c>
      <c r="Q2" t="n">
        <v>7</v>
      </c>
      <c r="R2" t="n">
        <v>2</v>
      </c>
      <c r="S2" t="n">
        <v>16</v>
      </c>
      <c r="T2" t="n">
        <v>35</v>
      </c>
      <c r="U2" t="n">
        <v>35</v>
      </c>
      <c r="V2" s="2" t="inlineStr">
        <is>
          <t>Klosterlav
Vedlavklubba
Bokvårtlav
Koralltaggsvamp
Orangepudrad klotterlav
Stiftklotterlav
Violettgrå porlav
Barkkornlav
Blåsfliksmossa
Fällmossa
Guldlockmossa
Havstulpanlav
Klippfrullania
Platt fjädermossa
Västlig hakmossa
Kungsfågel</t>
        </is>
      </c>
      <c r="W2">
        <f>HYPERLINK("https://klasma.github.io/Logging_1272/artfynd/S 9703-2021 artfynd.xlsx", "S 9703-2021")</f>
        <v/>
      </c>
      <c r="X2">
        <f>HYPERLINK("https://klasma.github.io/Logging_1272/kartor/S 9703-2021 karta.png", "S 9703-2021")</f>
        <v/>
      </c>
      <c r="Y2">
        <f>HYPERLINK("https://klasma.github.io/Logging_1272/kartor_geotiff/S 9703-2021 georefererad karta.tif", "S 9703-2021")</f>
        <v/>
      </c>
      <c r="AA2">
        <f>HYPERLINK("https://klasma.github.io/Logging_1272/klagomål/S 9703-2021 FSC-klagomål.docx", "S 9703-2021")</f>
        <v/>
      </c>
      <c r="AB2">
        <f>HYPERLINK("https://klasma.github.io/Logging_1272/klagomålsmail/S 9703-2021 FSC-klagomål mail.docx", "S 9703-2021")</f>
        <v/>
      </c>
      <c r="AC2">
        <f>HYPERLINK("https://klasma.github.io/Logging_1272/tillsyn/S 9703-2021 tillsynsbegäran.docx", "S 9703-2021")</f>
        <v/>
      </c>
      <c r="AD2">
        <f>HYPERLINK("https://klasma.github.io/Logging_1272/tillsynsmail/S 9703-2021 tillsynsbegäran mail.docx", "S 9703-2021")</f>
        <v/>
      </c>
    </row>
    <row r="3" ht="15" customHeight="1">
      <c r="A3" t="inlineStr">
        <is>
          <t>S 1066-2026</t>
        </is>
      </c>
      <c r="B3" t="inlineStr">
        <is>
          <t>samrådsanmälan</t>
        </is>
      </c>
      <c r="C3" t="inlineStr">
        <is>
          <t>Askåterföring</t>
        </is>
      </c>
      <c r="D3" s="1" t="n">
        <v>46127</v>
      </c>
      <c r="E3" s="1" t="n">
        <v>46326</v>
      </c>
      <c r="F3" t="inlineStr">
        <is>
          <t>SKÅNE LÄN</t>
        </is>
      </c>
      <c r="G3" t="inlineStr">
        <is>
          <t>BROMÖLLA</t>
        </is>
      </c>
      <c r="I3" t="n">
        <v>31.4</v>
      </c>
      <c r="J3" t="n">
        <v>1</v>
      </c>
      <c r="K3" t="n">
        <v>4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2</v>
      </c>
      <c r="R3" t="n">
        <v>1</v>
      </c>
      <c r="S3" t="n">
        <v>7</v>
      </c>
      <c r="T3" t="n">
        <v>9</v>
      </c>
      <c r="U3" t="n">
        <v>0</v>
      </c>
      <c r="V3" s="2" t="inlineStr">
        <is>
          <t>Igelkott
Bokvårtlav
Havstulpanlav
Myskmadra
Skogsbräsma
Stor häxört
Grönvit nattviol</t>
        </is>
      </c>
      <c r="W3">
        <f>HYPERLINK("https://klasma.github.io/Logging_1272/artfynd/S 1066-2026 artfynd.xlsx", "S 1066-2026")</f>
        <v/>
      </c>
      <c r="X3">
        <f>HYPERLINK("https://klasma.github.io/Logging_1272/kartor/S 1066-2026 karta.png", "S 1066-2026")</f>
        <v/>
      </c>
      <c r="Y3">
        <f>HYPERLINK("https://klasma.github.io/Logging_1272/kartor_geotiff/S 1066-2026 georefererad karta.tif", "S 1066-2026")</f>
        <v/>
      </c>
      <c r="AA3">
        <f>HYPERLINK("https://klasma.github.io/Logging_1272/klagomål/S 1066-2026 FSC-klagomål.docx", "S 1066-2026")</f>
        <v/>
      </c>
      <c r="AB3">
        <f>HYPERLINK("https://klasma.github.io/Logging_1272/klagomålsmail/S 1066-2026 FSC-klagomål mail.docx", "S 1066-2026")</f>
        <v/>
      </c>
      <c r="AC3">
        <f>HYPERLINK("https://klasma.github.io/Logging_1272/tillsyn/S 1066-2026 tillsynsbegäran.docx", "S 1066-2026")</f>
        <v/>
      </c>
      <c r="AD3">
        <f>HYPERLINK("https://klasma.github.io/Logging_1272/tillsynsmail/S 1066-2026 tillsynsbegäran mail.docx", "S 1066-2026")</f>
        <v/>
      </c>
    </row>
    <row r="4" ht="15" customHeight="1">
      <c r="A4" t="inlineStr">
        <is>
          <t>A 42062-2024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45561</v>
      </c>
      <c r="E4" s="1" t="n">
        <v>46326</v>
      </c>
      <c r="F4" t="inlineStr">
        <is>
          <t>SKÅNE LÄN</t>
        </is>
      </c>
      <c r="G4" t="inlineStr">
        <is>
          <t>BROMÖLLA</t>
        </is>
      </c>
      <c r="I4" t="n">
        <v>12.2</v>
      </c>
      <c r="J4" t="n">
        <v>0</v>
      </c>
      <c r="K4" t="n">
        <v>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</v>
      </c>
      <c r="T4" t="n">
        <v>11</v>
      </c>
      <c r="U4" t="n">
        <v>11</v>
      </c>
      <c r="V4" s="2" t="inlineStr">
        <is>
          <t>Ekskinn
Havstulpanlav
Rostfläck
Västlig hakmossa</t>
        </is>
      </c>
      <c r="W4">
        <f>HYPERLINK("https://klasma.github.io/Logging_1272/artfynd/A 42062-2024 artfynd.xlsx", "A 42062-2024")</f>
        <v/>
      </c>
      <c r="X4">
        <f>HYPERLINK("https://klasma.github.io/Logging_1272/kartor/A 42062-2024 karta.png", "A 42062-2024")</f>
        <v/>
      </c>
      <c r="Y4">
        <f>HYPERLINK("https://klasma.github.io/Logging_1272/kartor_geotiff/A 42062-2024 georefererad karta.tif", "A 42062-2024")</f>
        <v/>
      </c>
      <c r="AA4">
        <f>HYPERLINK("https://klasma.github.io/Logging_1272/klagomål/A 42062-2024 FSC-klagomål.docx", "A 42062-2024")</f>
        <v/>
      </c>
      <c r="AB4">
        <f>HYPERLINK("https://klasma.github.io/Logging_1272/klagomålsmail/A 42062-2024 FSC-klagomål mail.docx", "A 42062-2024")</f>
        <v/>
      </c>
      <c r="AC4">
        <f>HYPERLINK("https://klasma.github.io/Logging_1272/tillsyn/A 42062-2024 tillsynsbegäran.docx", "A 42062-2024")</f>
        <v/>
      </c>
      <c r="AD4">
        <f>HYPERLINK("https://klasma.github.io/Logging_1272/tillsynsmail/A 42062-2024 tillsynsbegäran mail.docx", "A 42062-2024")</f>
        <v/>
      </c>
    </row>
    <row r="5" ht="15" customHeight="1">
      <c r="A5" t="inlineStr">
        <is>
          <t>A 40177-2026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46290</v>
      </c>
      <c r="E5" s="1" t="n">
        <v>46326</v>
      </c>
      <c r="F5" t="inlineStr">
        <is>
          <t>SKÅNE LÄN</t>
        </is>
      </c>
      <c r="G5" t="inlineStr">
        <is>
          <t>BROMÖLLA</t>
        </is>
      </c>
      <c r="I5" t="n">
        <v>5.1</v>
      </c>
      <c r="J5" t="n">
        <v>2</v>
      </c>
      <c r="K5" t="n">
        <v>2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4</v>
      </c>
      <c r="T5" t="n">
        <v>4</v>
      </c>
      <c r="U5" t="n">
        <v>4</v>
      </c>
      <c r="V5" s="2" t="inlineStr">
        <is>
          <t>Entita
Liten stinksvamp
Västlig hakmossa
Spillkråka</t>
        </is>
      </c>
      <c r="W5">
        <f>HYPERLINK("https://klasma.github.io/Logging_1272/artfynd/A 40177-2026 artfynd.xlsx", "A 40177-2026")</f>
        <v/>
      </c>
      <c r="X5">
        <f>HYPERLINK("https://klasma.github.io/Logging_1272/kartor/A 40177-2026 karta.png", "A 40177-2026")</f>
        <v/>
      </c>
      <c r="Y5">
        <f>HYPERLINK("https://klasma.github.io/Logging_1272/kartor_geotiff/A 40177-2026 georefererad karta.tif", "A 40177-2026")</f>
        <v/>
      </c>
      <c r="AA5">
        <f>HYPERLINK("https://klasma.github.io/Logging_1272/klagomål/A 40177-2026 FSC-klagomål.docx", "A 40177-2026")</f>
        <v/>
      </c>
      <c r="AB5">
        <f>HYPERLINK("https://klasma.github.io/Logging_1272/klagomålsmail/A 40177-2026 FSC-klagomål mail.docx", "A 40177-2026")</f>
        <v/>
      </c>
      <c r="AC5">
        <f>HYPERLINK("https://klasma.github.io/Logging_1272/tillsyn/A 40177-2026 tillsynsbegäran.docx", "A 40177-2026")</f>
        <v/>
      </c>
      <c r="AD5">
        <f>HYPERLINK("https://klasma.github.io/Logging_1272/tillsynsmail/A 40177-2026 tillsynsbegäran mail.docx", "A 40177-2026")</f>
        <v/>
      </c>
      <c r="AE5">
        <f>HYPERLINK("https://klasma.github.io/Logging_1272/fåglar/A 40177-2026 prioriterade fågelarter.docx", "A 40177-2026")</f>
        <v/>
      </c>
    </row>
    <row r="6" ht="15" customHeight="1">
      <c r="A6" t="inlineStr">
        <is>
          <t>A 40214-2026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46290</v>
      </c>
      <c r="E6" s="1" t="n">
        <v>46326</v>
      </c>
      <c r="F6" t="inlineStr">
        <is>
          <t>SKÅNE LÄN</t>
        </is>
      </c>
      <c r="G6" t="inlineStr">
        <is>
          <t>BROMÖLLA</t>
        </is>
      </c>
      <c r="I6" t="n">
        <v>4.7</v>
      </c>
      <c r="J6" t="n">
        <v>1</v>
      </c>
      <c r="K6" t="n">
        <v>1</v>
      </c>
      <c r="L6" t="n">
        <v>2</v>
      </c>
      <c r="M6" t="n">
        <v>0</v>
      </c>
      <c r="N6" t="n">
        <v>0</v>
      </c>
      <c r="O6" t="n">
        <v>0</v>
      </c>
      <c r="P6" t="n">
        <v>0</v>
      </c>
      <c r="Q6" t="n">
        <v>2</v>
      </c>
      <c r="R6" t="n">
        <v>0</v>
      </c>
      <c r="S6" t="n">
        <v>4</v>
      </c>
      <c r="T6" t="n">
        <v>5</v>
      </c>
      <c r="U6" t="n">
        <v>5</v>
      </c>
      <c r="V6" s="2" t="inlineStr">
        <is>
          <t>Bokkantlav
Entita
Västlig hakmossa
Krushättemossa</t>
        </is>
      </c>
      <c r="W6">
        <f>HYPERLINK("https://klasma.github.io/Logging_1272/artfynd/A 40214-2026 artfynd.xlsx", "A 40214-2026")</f>
        <v/>
      </c>
      <c r="X6">
        <f>HYPERLINK("https://klasma.github.io/Logging_1272/kartor/A 40214-2026 karta.png", "A 40214-2026")</f>
        <v/>
      </c>
      <c r="Y6">
        <f>HYPERLINK("https://klasma.github.io/Logging_1272/kartor_geotiff/A 40214-2026 georefererad karta.tif", "A 40214-2026")</f>
        <v/>
      </c>
      <c r="AA6">
        <f>HYPERLINK("https://klasma.github.io/Logging_1272/klagomål/A 40214-2026 FSC-klagomål.docx", "A 40214-2026")</f>
        <v/>
      </c>
      <c r="AB6">
        <f>HYPERLINK("https://klasma.github.io/Logging_1272/klagomålsmail/A 40214-2026 FSC-klagomål mail.docx", "A 40214-2026")</f>
        <v/>
      </c>
      <c r="AC6">
        <f>HYPERLINK("https://klasma.github.io/Logging_1272/tillsyn/A 40214-2026 tillsynsbegäran.docx", "A 40214-2026")</f>
        <v/>
      </c>
      <c r="AD6">
        <f>HYPERLINK("https://klasma.github.io/Logging_1272/tillsynsmail/A 40214-2026 tillsynsbegäran mail.docx", "A 40214-2026")</f>
        <v/>
      </c>
      <c r="AE6">
        <f>HYPERLINK("https://klasma.github.io/Logging_1272/fåglar/A 40214-2026 prioriterade fågelarter.docx", "A 40214-2026")</f>
        <v/>
      </c>
    </row>
    <row r="7" ht="15" customHeight="1">
      <c r="A7" t="inlineStr">
        <is>
          <t>S 178-2025</t>
        </is>
      </c>
      <c r="B7" t="inlineStr">
        <is>
          <t>samrådsanmälan</t>
        </is>
      </c>
      <c r="C7" t="inlineStr">
        <is>
          <t>Askåterföring</t>
        </is>
      </c>
      <c r="D7" s="1" t="n">
        <v>45677</v>
      </c>
      <c r="E7" s="1" t="n">
        <v>46326</v>
      </c>
      <c r="F7" t="inlineStr">
        <is>
          <t>SKÅNE LÄN</t>
        </is>
      </c>
      <c r="G7" t="inlineStr">
        <is>
          <t>BROMÖLLA</t>
        </is>
      </c>
      <c r="I7" t="n">
        <v>29.5</v>
      </c>
      <c r="J7" t="n">
        <v>2</v>
      </c>
      <c r="K7" t="n">
        <v>1</v>
      </c>
      <c r="L7" t="n">
        <v>0</v>
      </c>
      <c r="M7" t="n">
        <v>0</v>
      </c>
      <c r="N7" t="n">
        <v>2</v>
      </c>
      <c r="O7" t="n">
        <v>0</v>
      </c>
      <c r="P7" t="n">
        <v>0</v>
      </c>
      <c r="Q7" t="n">
        <v>2</v>
      </c>
      <c r="R7" t="n">
        <v>2</v>
      </c>
      <c r="S7" t="n">
        <v>4</v>
      </c>
      <c r="T7" t="n">
        <v>5</v>
      </c>
      <c r="U7" t="n">
        <v>4</v>
      </c>
      <c r="V7" s="2" t="inlineStr">
        <is>
          <t>Ask
Dvärgjohannesört
Hässleklocka
Revlummer</t>
        </is>
      </c>
      <c r="W7">
        <f>HYPERLINK("https://klasma.github.io/Logging_1272/artfynd/S 178-2025 artfynd.xlsx", "S 178-2025")</f>
        <v/>
      </c>
      <c r="X7">
        <f>HYPERLINK("https://klasma.github.io/Logging_1272/kartor/S 178-2025 karta.png", "S 178-2025")</f>
        <v/>
      </c>
      <c r="Y7">
        <f>HYPERLINK("https://klasma.github.io/Logging_1272/kartor_geotiff/S 178-2025 georefererad karta.tif", "S 178-2025")</f>
        <v/>
      </c>
      <c r="AA7">
        <f>HYPERLINK("https://klasma.github.io/Logging_1272/klagomål/S 178-2025 FSC-klagomål.docx", "S 178-2025")</f>
        <v/>
      </c>
      <c r="AB7">
        <f>HYPERLINK("https://klasma.github.io/Logging_1272/klagomålsmail/S 178-2025 FSC-klagomål mail.docx", "S 178-2025")</f>
        <v/>
      </c>
      <c r="AC7">
        <f>HYPERLINK("https://klasma.github.io/Logging_1272/tillsyn/S 178-2025 tillsynsbegäran.docx", "S 178-2025")</f>
        <v/>
      </c>
      <c r="AD7">
        <f>HYPERLINK("https://klasma.github.io/Logging_1272/tillsynsmail/S 178-2025 tillsynsbegäran mail.docx", "S 178-2025")</f>
        <v/>
      </c>
    </row>
    <row r="8" ht="15" customHeight="1">
      <c r="A8" t="inlineStr">
        <is>
          <t>A 7554-2023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44967</v>
      </c>
      <c r="E8" s="1" t="n">
        <v>46326</v>
      </c>
      <c r="F8" t="inlineStr">
        <is>
          <t>SKÅNE LÄN</t>
        </is>
      </c>
      <c r="G8" t="inlineStr">
        <is>
          <t>BROMÖLLA</t>
        </is>
      </c>
      <c r="I8" t="n">
        <v>2.8</v>
      </c>
      <c r="J8" t="n">
        <v>0</v>
      </c>
      <c r="K8" t="n">
        <v>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</v>
      </c>
      <c r="T8" t="n">
        <v>3</v>
      </c>
      <c r="U8" t="n">
        <v>0</v>
      </c>
      <c r="V8" s="2" t="inlineStr">
        <is>
          <t>Stor häxört
Svart trolldruva
Underviol</t>
        </is>
      </c>
      <c r="W8">
        <f>HYPERLINK("https://klasma.github.io/Logging_1272/artfynd/A 7554-2023 artfynd.xlsx", "A 7554-2023")</f>
        <v/>
      </c>
      <c r="X8">
        <f>HYPERLINK("https://klasma.github.io/Logging_1272/kartor/A 7554-2023 karta.png", "A 7554-2023")</f>
        <v/>
      </c>
      <c r="Y8">
        <f>HYPERLINK("https://klasma.github.io/Logging_1272/kartor_geotiff/A 7554-2023 georefererad karta.tif", "A 7554-2023")</f>
        <v/>
      </c>
      <c r="AA8">
        <f>HYPERLINK("https://klasma.github.io/Logging_1272/klagomål/A 7554-2023 FSC-klagomål.docx", "A 7554-2023")</f>
        <v/>
      </c>
      <c r="AB8">
        <f>HYPERLINK("https://klasma.github.io/Logging_1272/klagomålsmail/A 7554-2023 FSC-klagomål mail.docx", "A 7554-2023")</f>
        <v/>
      </c>
      <c r="AC8">
        <f>HYPERLINK("https://klasma.github.io/Logging_1272/tillsyn/A 7554-2023 tillsynsbegäran.docx", "A 7554-2023")</f>
        <v/>
      </c>
      <c r="AD8">
        <f>HYPERLINK("https://klasma.github.io/Logging_1272/tillsynsmail/A 7554-2023 tillsynsbegäran mail.docx", "A 7554-2023")</f>
        <v/>
      </c>
    </row>
    <row r="9" ht="15" customHeight="1">
      <c r="A9" t="inlineStr">
        <is>
          <t>A 24688-2025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45798</v>
      </c>
      <c r="E9" s="1" t="n">
        <v>46326</v>
      </c>
      <c r="F9" t="inlineStr">
        <is>
          <t>SKÅNE LÄN</t>
        </is>
      </c>
      <c r="G9" t="inlineStr">
        <is>
          <t>BROMÖLLA</t>
        </is>
      </c>
      <c r="I9" t="n">
        <v>1.6</v>
      </c>
      <c r="J9" t="n">
        <v>2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2</v>
      </c>
      <c r="T9" t="n">
        <v>2</v>
      </c>
      <c r="U9" t="n">
        <v>1</v>
      </c>
      <c r="V9" s="2" t="inlineStr">
        <is>
          <t>Järnsparv
Mindre flugsnappare</t>
        </is>
      </c>
      <c r="W9">
        <f>HYPERLINK("https://klasma.github.io/Logging_1272/artfynd/A 24688-2025 artfynd.xlsx", "A 24688-2025")</f>
        <v/>
      </c>
      <c r="X9">
        <f>HYPERLINK("https://klasma.github.io/Logging_1272/kartor/A 24688-2025 karta.png", "A 24688-2025")</f>
        <v/>
      </c>
      <c r="Y9">
        <f>HYPERLINK("https://klasma.github.io/Logging_1272/kartor_geotiff/A 24688-2025 georefererad karta.tif", "A 24688-2025")</f>
        <v/>
      </c>
      <c r="AA9">
        <f>HYPERLINK("https://klasma.github.io/Logging_1272/klagomål/A 24688-2025 FSC-klagomål.docx", "A 24688-2025")</f>
        <v/>
      </c>
      <c r="AB9">
        <f>HYPERLINK("https://klasma.github.io/Logging_1272/klagomålsmail/A 24688-2025 FSC-klagomål mail.docx", "A 24688-2025")</f>
        <v/>
      </c>
      <c r="AC9">
        <f>HYPERLINK("https://klasma.github.io/Logging_1272/tillsyn/A 24688-2025 tillsynsbegäran.docx", "A 24688-2025")</f>
        <v/>
      </c>
      <c r="AD9">
        <f>HYPERLINK("https://klasma.github.io/Logging_1272/tillsynsmail/A 24688-2025 tillsynsbegäran mail.docx", "A 24688-2025")</f>
        <v/>
      </c>
      <c r="AE9">
        <f>HYPERLINK("https://klasma.github.io/Logging_1272/fåglar/A 24688-2025 prioriterade fågelarter.docx", "A 24688-2025")</f>
        <v/>
      </c>
    </row>
    <row r="10" ht="15" customHeight="1">
      <c r="A10" t="inlineStr">
        <is>
          <t>A 20426-2023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45056</v>
      </c>
      <c r="E10" s="1" t="n">
        <v>46326</v>
      </c>
      <c r="F10" t="inlineStr">
        <is>
          <t>SKÅNE LÄN</t>
        </is>
      </c>
      <c r="G10" t="inlineStr">
        <is>
          <t>BROMÖLLA</t>
        </is>
      </c>
      <c r="I10" t="n">
        <v>5.2</v>
      </c>
      <c r="J10" t="n">
        <v>0</v>
      </c>
      <c r="K10" t="n">
        <v>0</v>
      </c>
      <c r="L10" t="n">
        <v>2</v>
      </c>
      <c r="M10" t="n">
        <v>0</v>
      </c>
      <c r="N10" t="n">
        <v>0</v>
      </c>
      <c r="O10" t="n">
        <v>0</v>
      </c>
      <c r="P10" t="n">
        <v>0</v>
      </c>
      <c r="Q10" t="n">
        <v>2</v>
      </c>
      <c r="R10" t="n">
        <v>0</v>
      </c>
      <c r="S10" t="n">
        <v>2</v>
      </c>
      <c r="T10" t="n">
        <v>2</v>
      </c>
      <c r="U10" t="n">
        <v>2</v>
      </c>
      <c r="V10" s="2" t="inlineStr">
        <is>
          <t>Bokvårtlav
Hålnunneört</t>
        </is>
      </c>
      <c r="W10">
        <f>HYPERLINK("https://klasma.github.io/Logging_1272/artfynd/A 20426-2023 artfynd.xlsx", "A 20426-2023")</f>
        <v/>
      </c>
      <c r="X10">
        <f>HYPERLINK("https://klasma.github.io/Logging_1272/kartor/A 20426-2023 karta.png", "A 20426-2023")</f>
        <v/>
      </c>
      <c r="Y10">
        <f>HYPERLINK("https://klasma.github.io/Logging_1272/kartor_geotiff/A 20426-2023 georefererad karta.tif", "A 20426-2023")</f>
        <v/>
      </c>
      <c r="AA10">
        <f>HYPERLINK("https://klasma.github.io/Logging_1272/klagomål/A 20426-2023 FSC-klagomål.docx", "A 20426-2023")</f>
        <v/>
      </c>
      <c r="AB10">
        <f>HYPERLINK("https://klasma.github.io/Logging_1272/klagomålsmail/A 20426-2023 FSC-klagomål mail.docx", "A 20426-2023")</f>
        <v/>
      </c>
      <c r="AC10">
        <f>HYPERLINK("https://klasma.github.io/Logging_1272/tillsyn/A 20426-2023 tillsynsbegäran.docx", "A 20426-2023")</f>
        <v/>
      </c>
      <c r="AD10">
        <f>HYPERLINK("https://klasma.github.io/Logging_1272/tillsynsmail/A 20426-2023 tillsynsbegäran mail.docx", "A 20426-2023")</f>
        <v/>
      </c>
    </row>
    <row r="11" ht="15" customHeight="1">
      <c r="A11" t="inlineStr">
        <is>
          <t>A 38164-2026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46281</v>
      </c>
      <c r="E11" s="1" t="n">
        <v>46326</v>
      </c>
      <c r="F11" t="inlineStr">
        <is>
          <t>SKÅNE LÄN</t>
        </is>
      </c>
      <c r="G11" t="inlineStr">
        <is>
          <t>BROMÖLLA</t>
        </is>
      </c>
      <c r="I11" t="n">
        <v>6.9</v>
      </c>
      <c r="J11" t="n">
        <v>2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2</v>
      </c>
      <c r="T11" t="n">
        <v>2</v>
      </c>
      <c r="U11" t="n">
        <v>2</v>
      </c>
      <c r="V11" s="2" t="inlineStr">
        <is>
          <t>Entita
Spillkråka</t>
        </is>
      </c>
      <c r="W11">
        <f>HYPERLINK("https://klasma.github.io/Logging_1272/artfynd/A 38164-2026 artfynd.xlsx", "A 38164-2026")</f>
        <v/>
      </c>
      <c r="X11">
        <f>HYPERLINK("https://klasma.github.io/Logging_1272/kartor/A 38164-2026 karta.png", "A 38164-2026")</f>
        <v/>
      </c>
      <c r="Y11">
        <f>HYPERLINK("https://klasma.github.io/Logging_1272/kartor_geotiff/A 38164-2026 georefererad karta.tif", "A 38164-2026")</f>
        <v/>
      </c>
      <c r="AA11">
        <f>HYPERLINK("https://klasma.github.io/Logging_1272/klagomål/A 38164-2026 FSC-klagomål.docx", "A 38164-2026")</f>
        <v/>
      </c>
      <c r="AB11">
        <f>HYPERLINK("https://klasma.github.io/Logging_1272/klagomålsmail/A 38164-2026 FSC-klagomål mail.docx", "A 38164-2026")</f>
        <v/>
      </c>
      <c r="AC11">
        <f>HYPERLINK("https://klasma.github.io/Logging_1272/tillsyn/A 38164-2026 tillsynsbegäran.docx", "A 38164-2026")</f>
        <v/>
      </c>
      <c r="AD11">
        <f>HYPERLINK("https://klasma.github.io/Logging_1272/tillsynsmail/A 38164-2026 tillsynsbegäran mail.docx", "A 38164-2026")</f>
        <v/>
      </c>
      <c r="AE11">
        <f>HYPERLINK("https://klasma.github.io/Logging_1272/fåglar/A 38164-2026 prioriterade fågelarter.docx", "A 38164-2026")</f>
        <v/>
      </c>
    </row>
    <row r="12" ht="15" customHeight="1">
      <c r="A12" t="inlineStr">
        <is>
          <t>S 4458-2023</t>
        </is>
      </c>
      <c r="B12" t="inlineStr">
        <is>
          <t>samrådsanmälan</t>
        </is>
      </c>
      <c r="C12" t="inlineStr">
        <is>
          <t>Askåterföring</t>
        </is>
      </c>
      <c r="D12" s="1" t="n">
        <v>45271</v>
      </c>
      <c r="E12" s="1" t="n">
        <v>46326</v>
      </c>
      <c r="F12" t="inlineStr">
        <is>
          <t>SKÅNE LÄN</t>
        </is>
      </c>
      <c r="G12" t="inlineStr">
        <is>
          <t>BROMÖLLA</t>
        </is>
      </c>
      <c r="I12" t="n">
        <v>62.9</v>
      </c>
      <c r="J12" t="n">
        <v>0</v>
      </c>
      <c r="K12" t="n">
        <v>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</v>
      </c>
      <c r="T12" t="n">
        <v>2</v>
      </c>
      <c r="U12" t="n">
        <v>2</v>
      </c>
      <c r="V12" s="2" t="inlineStr">
        <is>
          <t>Lundbräsma
Lömsk flugsvamp</t>
        </is>
      </c>
      <c r="W12">
        <f>HYPERLINK("https://klasma.github.io/Logging_1272/artfynd/S 4458-2023 artfynd.xlsx", "S 4458-2023")</f>
        <v/>
      </c>
      <c r="X12">
        <f>HYPERLINK("https://klasma.github.io/Logging_1272/kartor/S 4458-2023 karta.png", "S 4458-2023")</f>
        <v/>
      </c>
      <c r="Y12">
        <f>HYPERLINK("https://klasma.github.io/Logging_1272/kartor_geotiff/S 4458-2023 georefererad karta.tif", "S 4458-2023")</f>
        <v/>
      </c>
      <c r="AA12">
        <f>HYPERLINK("https://klasma.github.io/Logging_1272/klagomål/S 4458-2023 FSC-klagomål.docx", "S 4458-2023")</f>
        <v/>
      </c>
      <c r="AB12">
        <f>HYPERLINK("https://klasma.github.io/Logging_1272/klagomålsmail/S 4458-2023 FSC-klagomål mail.docx", "S 4458-2023")</f>
        <v/>
      </c>
      <c r="AC12">
        <f>HYPERLINK("https://klasma.github.io/Logging_1272/tillsyn/S 4458-2023 tillsynsbegäran.docx", "S 4458-2023")</f>
        <v/>
      </c>
      <c r="AD12">
        <f>HYPERLINK("https://klasma.github.io/Logging_1272/tillsynsmail/S 4458-2023 tillsynsbegäran mail.docx", "S 4458-2023")</f>
        <v/>
      </c>
    </row>
    <row r="13" ht="15" customHeight="1">
      <c r="A13" t="inlineStr">
        <is>
          <t>S 168-2025</t>
        </is>
      </c>
      <c r="B13" t="inlineStr">
        <is>
          <t>samrådsanmälan</t>
        </is>
      </c>
      <c r="C13" t="inlineStr">
        <is>
          <t>Askåterföring</t>
        </is>
      </c>
      <c r="D13" s="1" t="n">
        <v>45677</v>
      </c>
      <c r="E13" s="1" t="n">
        <v>46326</v>
      </c>
      <c r="F13" t="inlineStr">
        <is>
          <t>SKÅNE LÄN</t>
        </is>
      </c>
      <c r="G13" t="inlineStr">
        <is>
          <t>BROMÖLLA</t>
        </is>
      </c>
      <c r="I13" t="n">
        <v>3.6</v>
      </c>
      <c r="J13" t="n">
        <v>2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2</v>
      </c>
      <c r="T13" t="n">
        <v>2</v>
      </c>
      <c r="U13" t="n">
        <v>2</v>
      </c>
      <c r="V13" s="2" t="inlineStr">
        <is>
          <t>Mindre hackspett
Spillkråka</t>
        </is>
      </c>
      <c r="W13">
        <f>HYPERLINK("https://klasma.github.io/Logging_1272/artfynd/S 168-2025 artfynd.xlsx", "S 168-2025")</f>
        <v/>
      </c>
      <c r="X13">
        <f>HYPERLINK("https://klasma.github.io/Logging_1272/kartor/S 168-2025 karta.png", "S 168-2025")</f>
        <v/>
      </c>
      <c r="Y13">
        <f>HYPERLINK("https://klasma.github.io/Logging_1272/kartor_geotiff/S 168-2025 georefererad karta.tif", "S 168-2025")</f>
        <v/>
      </c>
      <c r="AA13">
        <f>HYPERLINK("https://klasma.github.io/Logging_1272/klagomål/S 168-2025 FSC-klagomål.docx", "S 168-2025")</f>
        <v/>
      </c>
      <c r="AB13">
        <f>HYPERLINK("https://klasma.github.io/Logging_1272/klagomålsmail/S 168-2025 FSC-klagomål mail.docx", "S 168-2025")</f>
        <v/>
      </c>
      <c r="AC13">
        <f>HYPERLINK("https://klasma.github.io/Logging_1272/tillsyn/S 168-2025 tillsynsbegäran.docx", "S 168-2025")</f>
        <v/>
      </c>
      <c r="AD13">
        <f>HYPERLINK("https://klasma.github.io/Logging_1272/tillsynsmail/S 168-2025 tillsynsbegäran mail.docx", "S 168-2025")</f>
        <v/>
      </c>
      <c r="AE13">
        <f>HYPERLINK("https://klasma.github.io/Logging_1272/fåglar/S 168-2025 prioriterade fågelarter.docx", "S 168-2025")</f>
        <v/>
      </c>
    </row>
    <row r="14" ht="15" customHeight="1">
      <c r="A14" t="inlineStr">
        <is>
          <t>S 1328-2025</t>
        </is>
      </c>
      <c r="B14" t="inlineStr">
        <is>
          <t>samrådsanmälan</t>
        </is>
      </c>
      <c r="C14" t="inlineStr">
        <is>
          <t>Askåterföring</t>
        </is>
      </c>
      <c r="D14" s="1" t="n">
        <v>45770</v>
      </c>
      <c r="E14" s="1" t="n">
        <v>46326</v>
      </c>
      <c r="F14" t="inlineStr">
        <is>
          <t>SKÅNE LÄN</t>
        </is>
      </c>
      <c r="G14" t="inlineStr">
        <is>
          <t>BROMÖLLA</t>
        </is>
      </c>
      <c r="I14" t="n">
        <v>27.2</v>
      </c>
      <c r="J14" t="n">
        <v>1</v>
      </c>
      <c r="K14" t="n">
        <v>0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2</v>
      </c>
      <c r="T14" t="n">
        <v>3</v>
      </c>
      <c r="U14" t="n">
        <v>0</v>
      </c>
      <c r="V14" s="2" t="inlineStr">
        <is>
          <t>Bivråk
Luddfingerört</t>
        </is>
      </c>
      <c r="W14">
        <f>HYPERLINK("https://klasma.github.io/Logging_1272/artfynd/S 1328-2025 artfynd.xlsx", "S 1328-2025")</f>
        <v/>
      </c>
      <c r="X14">
        <f>HYPERLINK("https://klasma.github.io/Logging_1272/kartor/S 1328-2025 karta.png", "S 1328-2025")</f>
        <v/>
      </c>
      <c r="Y14">
        <f>HYPERLINK("https://klasma.github.io/Logging_1272/kartor_geotiff/S 1328-2025 georefererad karta.tif", "S 1328-2025")</f>
        <v/>
      </c>
      <c r="AA14">
        <f>HYPERLINK("https://klasma.github.io/Logging_1272/klagomål/S 1328-2025 FSC-klagomål.docx", "S 1328-2025")</f>
        <v/>
      </c>
      <c r="AB14">
        <f>HYPERLINK("https://klasma.github.io/Logging_1272/klagomålsmail/S 1328-2025 FSC-klagomål mail.docx", "S 1328-2025")</f>
        <v/>
      </c>
      <c r="AC14">
        <f>HYPERLINK("https://klasma.github.io/Logging_1272/tillsyn/S 1328-2025 tillsynsbegäran.docx", "S 1328-2025")</f>
        <v/>
      </c>
      <c r="AD14">
        <f>HYPERLINK("https://klasma.github.io/Logging_1272/tillsynsmail/S 1328-2025 tillsynsbegäran mail.docx", "S 1328-2025")</f>
        <v/>
      </c>
      <c r="AE14">
        <f>HYPERLINK("https://klasma.github.io/Logging_1272/fåglar/S 1328-2025 prioriterade fågelarter.docx", "S 1328-2025")</f>
        <v/>
      </c>
    </row>
    <row r="15" ht="15" customHeight="1">
      <c r="A15" t="inlineStr">
        <is>
          <t>A 50118-2022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44860</v>
      </c>
      <c r="E15" s="1" t="n">
        <v>46326</v>
      </c>
      <c r="F15" t="inlineStr">
        <is>
          <t>SKÅNE LÄN</t>
        </is>
      </c>
      <c r="G15" t="inlineStr">
        <is>
          <t>BROMÖLLA</t>
        </is>
      </c>
      <c r="I15" t="n">
        <v>12.8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2</v>
      </c>
      <c r="U15" t="n">
        <v>0</v>
      </c>
      <c r="V15" s="2" t="inlineStr">
        <is>
          <t>Myskmadra</t>
        </is>
      </c>
      <c r="W15">
        <f>HYPERLINK("https://klasma.github.io/Logging_1272/artfynd/A 50118-2022 artfynd.xlsx", "A 50118-2022")</f>
        <v/>
      </c>
      <c r="X15">
        <f>HYPERLINK("https://klasma.github.io/Logging_1272/kartor/A 50118-2022 karta.png", "A 50118-2022")</f>
        <v/>
      </c>
      <c r="Y15">
        <f>HYPERLINK("https://klasma.github.io/Logging_1272/kartor_geotiff/A 50118-2022 georefererad karta.tif", "A 50118-2022")</f>
        <v/>
      </c>
      <c r="AA15">
        <f>HYPERLINK("https://klasma.github.io/Logging_1272/klagomål/A 50118-2022 FSC-klagomål.docx", "A 50118-2022")</f>
        <v/>
      </c>
      <c r="AB15">
        <f>HYPERLINK("https://klasma.github.io/Logging_1272/klagomålsmail/A 50118-2022 FSC-klagomål mail.docx", "A 50118-2022")</f>
        <v/>
      </c>
      <c r="AC15">
        <f>HYPERLINK("https://klasma.github.io/Logging_1272/tillsyn/A 50118-2022 tillsynsbegäran.docx", "A 50118-2022")</f>
        <v/>
      </c>
      <c r="AD15">
        <f>HYPERLINK("https://klasma.github.io/Logging_1272/tillsynsmail/A 50118-2022 tillsynsbegäran mail.docx", "A 50118-2022")</f>
        <v/>
      </c>
    </row>
    <row r="16" ht="15" customHeight="1">
      <c r="A16" t="inlineStr">
        <is>
          <t>A 8362-2026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46064</v>
      </c>
      <c r="E16" s="1" t="n">
        <v>46326</v>
      </c>
      <c r="F16" t="inlineStr">
        <is>
          <t>SKÅNE LÄN</t>
        </is>
      </c>
      <c r="G16" t="inlineStr">
        <is>
          <t>BROMÖLLA</t>
        </is>
      </c>
      <c r="I16" t="n">
        <v>2.7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1</v>
      </c>
      <c r="T16" t="n">
        <v>1</v>
      </c>
      <c r="U16" t="n">
        <v>0</v>
      </c>
      <c r="V16" s="2" t="inlineStr">
        <is>
          <t>Rödlånke</t>
        </is>
      </c>
      <c r="W16">
        <f>HYPERLINK("https://klasma.github.io/Logging_1272/artfynd/A 8362-2026 artfynd.xlsx", "A 8362-2026")</f>
        <v/>
      </c>
      <c r="X16">
        <f>HYPERLINK("https://klasma.github.io/Logging_1272/kartor/A 8362-2026 karta.png", "A 8362-2026")</f>
        <v/>
      </c>
      <c r="Y16">
        <f>HYPERLINK("https://klasma.github.io/Logging_1272/kartor_geotiff/A 8362-2026 georefererad karta.tif", "A 8362-2026")</f>
        <v/>
      </c>
      <c r="AA16">
        <f>HYPERLINK("https://klasma.github.io/Logging_1272/klagomål/A 8362-2026 FSC-klagomål.docx", "A 8362-2026")</f>
        <v/>
      </c>
      <c r="AB16">
        <f>HYPERLINK("https://klasma.github.io/Logging_1272/klagomålsmail/A 8362-2026 FSC-klagomål mail.docx", "A 8362-2026")</f>
        <v/>
      </c>
      <c r="AC16">
        <f>HYPERLINK("https://klasma.github.io/Logging_1272/tillsyn/A 8362-2026 tillsynsbegäran.docx", "A 8362-2026")</f>
        <v/>
      </c>
      <c r="AD16">
        <f>HYPERLINK("https://klasma.github.io/Logging_1272/tillsynsmail/A 8362-2026 tillsynsbegäran mail.docx", "A 8362-2026")</f>
        <v/>
      </c>
    </row>
    <row r="17" ht="15" customHeight="1">
      <c r="A17" t="inlineStr">
        <is>
          <t>A 17396-2024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45414</v>
      </c>
      <c r="E17" s="1" t="n">
        <v>46326</v>
      </c>
      <c r="F17" t="inlineStr">
        <is>
          <t>SKÅNE LÄN</t>
        </is>
      </c>
      <c r="G17" t="inlineStr">
        <is>
          <t>BROMÖLLA</t>
        </is>
      </c>
      <c r="I17" t="n">
        <v>1.8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1</v>
      </c>
      <c r="U17" t="n">
        <v>0</v>
      </c>
      <c r="V17" s="2" t="inlineStr">
        <is>
          <t>Safsa</t>
        </is>
      </c>
      <c r="W17">
        <f>HYPERLINK("https://klasma.github.io/Logging_1272/artfynd/A 17396-2024 artfynd.xlsx", "A 17396-2024")</f>
        <v/>
      </c>
      <c r="X17">
        <f>HYPERLINK("https://klasma.github.io/Logging_1272/kartor/A 17396-2024 karta.png", "A 17396-2024")</f>
        <v/>
      </c>
      <c r="Y17">
        <f>HYPERLINK("https://klasma.github.io/Logging_1272/kartor_geotiff/A 17396-2024 georefererad karta.tif", "A 17396-2024")</f>
        <v/>
      </c>
      <c r="AA17">
        <f>HYPERLINK("https://klasma.github.io/Logging_1272/klagomål/A 17396-2024 FSC-klagomål.docx", "A 17396-2024")</f>
        <v/>
      </c>
      <c r="AB17">
        <f>HYPERLINK("https://klasma.github.io/Logging_1272/klagomålsmail/A 17396-2024 FSC-klagomål mail.docx", "A 17396-2024")</f>
        <v/>
      </c>
      <c r="AC17">
        <f>HYPERLINK("https://klasma.github.io/Logging_1272/tillsyn/A 17396-2024 tillsynsbegäran.docx", "A 17396-2024")</f>
        <v/>
      </c>
      <c r="AD17">
        <f>HYPERLINK("https://klasma.github.io/Logging_1272/tillsynsmail/A 17396-2024 tillsynsbegäran mail.docx", "A 17396-2024")</f>
        <v/>
      </c>
    </row>
    <row r="18" ht="15" customHeight="1">
      <c r="A18" t="inlineStr">
        <is>
          <t>A 17522-2026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46120</v>
      </c>
      <c r="E18" s="1" t="n">
        <v>46326</v>
      </c>
      <c r="F18" t="inlineStr">
        <is>
          <t>SKÅNE LÄN</t>
        </is>
      </c>
      <c r="G18" t="inlineStr">
        <is>
          <t>BROMÖLLA</t>
        </is>
      </c>
      <c r="I18" t="n">
        <v>6.4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  <c r="T18" t="n">
        <v>1</v>
      </c>
      <c r="U18" t="n">
        <v>0</v>
      </c>
      <c r="V18" s="2" t="inlineStr">
        <is>
          <t>Sminkrot</t>
        </is>
      </c>
      <c r="W18">
        <f>HYPERLINK("https://klasma.github.io/Logging_1272/artfynd/A 17522-2026 artfynd.xlsx", "A 17522-2026")</f>
        <v/>
      </c>
      <c r="X18">
        <f>HYPERLINK("https://klasma.github.io/Logging_1272/kartor/A 17522-2026 karta.png", "A 17522-2026")</f>
        <v/>
      </c>
      <c r="Y18">
        <f>HYPERLINK("https://klasma.github.io/Logging_1272/kartor_geotiff/A 17522-2026 georefererad karta.tif", "A 17522-2026")</f>
        <v/>
      </c>
      <c r="AA18">
        <f>HYPERLINK("https://klasma.github.io/Logging_1272/klagomål/A 17522-2026 FSC-klagomål.docx", "A 17522-2026")</f>
        <v/>
      </c>
      <c r="AB18">
        <f>HYPERLINK("https://klasma.github.io/Logging_1272/klagomålsmail/A 17522-2026 FSC-klagomål mail.docx", "A 17522-2026")</f>
        <v/>
      </c>
      <c r="AC18">
        <f>HYPERLINK("https://klasma.github.io/Logging_1272/tillsyn/A 17522-2026 tillsynsbegäran.docx", "A 17522-2026")</f>
        <v/>
      </c>
      <c r="AD18">
        <f>HYPERLINK("https://klasma.github.io/Logging_1272/tillsynsmail/A 17522-2026 tillsynsbegäran mail.docx", "A 17522-2026")</f>
        <v/>
      </c>
    </row>
    <row r="19" ht="15" customHeight="1">
      <c r="A19" t="inlineStr">
        <is>
          <t>A 35397-2025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45854</v>
      </c>
      <c r="E19" s="1" t="n">
        <v>46326</v>
      </c>
      <c r="F19" t="inlineStr">
        <is>
          <t>SKÅNE LÄN</t>
        </is>
      </c>
      <c r="G19" t="inlineStr">
        <is>
          <t>BROMÖLLA</t>
        </is>
      </c>
      <c r="I19" t="n">
        <v>8.4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1</v>
      </c>
      <c r="U19" t="n">
        <v>0</v>
      </c>
      <c r="V19" s="2" t="inlineStr">
        <is>
          <t>Skogsbräsma</t>
        </is>
      </c>
      <c r="W19">
        <f>HYPERLINK("https://klasma.github.io/Logging_1272/artfynd/A 35397-2025 artfynd.xlsx", "A 35397-2025")</f>
        <v/>
      </c>
      <c r="X19">
        <f>HYPERLINK("https://klasma.github.io/Logging_1272/kartor/A 35397-2025 karta.png", "A 35397-2025")</f>
        <v/>
      </c>
      <c r="Y19">
        <f>HYPERLINK("https://klasma.github.io/Logging_1272/kartor_geotiff/A 35397-2025 georefererad karta.tif", "A 35397-2025")</f>
        <v/>
      </c>
      <c r="AA19">
        <f>HYPERLINK("https://klasma.github.io/Logging_1272/klagomål/A 35397-2025 FSC-klagomål.docx", "A 35397-2025")</f>
        <v/>
      </c>
      <c r="AB19">
        <f>HYPERLINK("https://klasma.github.io/Logging_1272/klagomålsmail/A 35397-2025 FSC-klagomål mail.docx", "A 35397-2025")</f>
        <v/>
      </c>
      <c r="AC19">
        <f>HYPERLINK("https://klasma.github.io/Logging_1272/tillsyn/A 35397-2025 tillsynsbegäran.docx", "A 35397-2025")</f>
        <v/>
      </c>
      <c r="AD19">
        <f>HYPERLINK("https://klasma.github.io/Logging_1272/tillsynsmail/A 35397-2025 tillsynsbegäran mail.docx", "A 35397-2025")</f>
        <v/>
      </c>
    </row>
    <row r="20" ht="15" customHeight="1">
      <c r="A20" t="inlineStr">
        <is>
          <t>A 52972-2023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45222</v>
      </c>
      <c r="E20" s="1" t="n">
        <v>46326</v>
      </c>
      <c r="F20" t="inlineStr">
        <is>
          <t>SKÅNE LÄN</t>
        </is>
      </c>
      <c r="G20" t="inlineStr">
        <is>
          <t>BROMÖLLA</t>
        </is>
      </c>
      <c r="I20" t="n">
        <v>6.4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0</v>
      </c>
      <c r="V20" s="2" t="inlineStr">
        <is>
          <t>Revlummer</t>
        </is>
      </c>
      <c r="W20">
        <f>HYPERLINK("https://klasma.github.io/Logging_1272/artfynd/A 52972-2023 artfynd.xlsx", "A 52972-2023")</f>
        <v/>
      </c>
      <c r="X20">
        <f>HYPERLINK("https://klasma.github.io/Logging_1272/kartor/A 52972-2023 karta.png", "A 52972-2023")</f>
        <v/>
      </c>
      <c r="Y20">
        <f>HYPERLINK("https://klasma.github.io/Logging_1272/kartor_geotiff/A 52972-2023 georefererad karta.tif", "A 52972-2023")</f>
        <v/>
      </c>
      <c r="AA20">
        <f>HYPERLINK("https://klasma.github.io/Logging_1272/klagomål/A 52972-2023 FSC-klagomål.docx", "A 52972-2023")</f>
        <v/>
      </c>
      <c r="AB20">
        <f>HYPERLINK("https://klasma.github.io/Logging_1272/klagomålsmail/A 52972-2023 FSC-klagomål mail.docx", "A 52972-2023")</f>
        <v/>
      </c>
      <c r="AC20">
        <f>HYPERLINK("https://klasma.github.io/Logging_1272/tillsyn/A 52972-2023 tillsynsbegäran.docx", "A 52972-2023")</f>
        <v/>
      </c>
      <c r="AD20">
        <f>HYPERLINK("https://klasma.github.io/Logging_1272/tillsynsmail/A 52972-2023 tillsynsbegäran mail.docx", "A 52972-2023")</f>
        <v/>
      </c>
    </row>
    <row r="21" ht="15" customHeight="1">
      <c r="A21" t="inlineStr">
        <is>
          <t>S 172-2025</t>
        </is>
      </c>
      <c r="B21" t="inlineStr">
        <is>
          <t>samrådsanmälan</t>
        </is>
      </c>
      <c r="C21" t="inlineStr">
        <is>
          <t>Askåterföring</t>
        </is>
      </c>
      <c r="D21" s="1" t="n">
        <v>45677</v>
      </c>
      <c r="E21" s="1" t="n">
        <v>46326</v>
      </c>
      <c r="F21" t="inlineStr">
        <is>
          <t>SKÅNE LÄN</t>
        </is>
      </c>
      <c r="G21" t="inlineStr">
        <is>
          <t>BROMÖLLA</t>
        </is>
      </c>
      <c r="I21" t="n">
        <v>63.4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1</v>
      </c>
      <c r="V21" s="2" t="inlineStr">
        <is>
          <t>Nattskärra</t>
        </is>
      </c>
      <c r="W21">
        <f>HYPERLINK("https://klasma.github.io/Logging_1272/artfynd/S 172-2025 artfynd.xlsx", "S 172-2025")</f>
        <v/>
      </c>
      <c r="X21">
        <f>HYPERLINK("https://klasma.github.io/Logging_1272/kartor/S 172-2025 karta.png", "S 172-2025")</f>
        <v/>
      </c>
      <c r="Y21">
        <f>HYPERLINK("https://klasma.github.io/Logging_1272/kartor_geotiff/S 172-2025 georefererad karta.tif", "S 172-2025")</f>
        <v/>
      </c>
      <c r="AA21">
        <f>HYPERLINK("https://klasma.github.io/Logging_1272/klagomål/S 172-2025 FSC-klagomål.docx", "S 172-2025")</f>
        <v/>
      </c>
      <c r="AB21">
        <f>HYPERLINK("https://klasma.github.io/Logging_1272/klagomålsmail/S 172-2025 FSC-klagomål mail.docx", "S 172-2025")</f>
        <v/>
      </c>
      <c r="AC21">
        <f>HYPERLINK("https://klasma.github.io/Logging_1272/tillsyn/S 172-2025 tillsynsbegäran.docx", "S 172-2025")</f>
        <v/>
      </c>
      <c r="AD21">
        <f>HYPERLINK("https://klasma.github.io/Logging_1272/tillsynsmail/S 172-2025 tillsynsbegäran mail.docx", "S 172-2025")</f>
        <v/>
      </c>
      <c r="AE21">
        <f>HYPERLINK("https://klasma.github.io/Logging_1272/fåglar/S 172-2025 prioriterade fågelarter.docx", "S 172-2025")</f>
        <v/>
      </c>
    </row>
    <row r="22" ht="15" customHeight="1">
      <c r="A22" t="inlineStr">
        <is>
          <t>S 4679-2022</t>
        </is>
      </c>
      <c r="B22" t="inlineStr">
        <is>
          <t>samrådsanmälan</t>
        </is>
      </c>
      <c r="C22" t="inlineStr">
        <is>
          <t>Askåterföring</t>
        </is>
      </c>
      <c r="D22" s="1" t="n">
        <v>44796</v>
      </c>
      <c r="E22" s="1" t="n">
        <v>46326</v>
      </c>
      <c r="F22" t="inlineStr">
        <is>
          <t>SKÅNE LÄN</t>
        </is>
      </c>
      <c r="G22" t="inlineStr">
        <is>
          <t>BROMÖLLA</t>
        </is>
      </c>
      <c r="I22" t="n">
        <v>79.90000000000001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1</v>
      </c>
      <c r="T22" t="n">
        <v>1</v>
      </c>
      <c r="U22" t="n">
        <v>0</v>
      </c>
      <c r="V22" s="2" t="inlineStr">
        <is>
          <t>Lamellsnäcka</t>
        </is>
      </c>
      <c r="W22">
        <f>HYPERLINK("https://klasma.github.io/Logging_1272/artfynd/S 4679-2022 artfynd.xlsx", "S 4679-2022")</f>
        <v/>
      </c>
      <c r="X22">
        <f>HYPERLINK("https://klasma.github.io/Logging_1272/kartor/S 4679-2022 karta.png", "S 4679-2022")</f>
        <v/>
      </c>
      <c r="Y22">
        <f>HYPERLINK("https://klasma.github.io/Logging_1272/kartor_geotiff/S 4679-2022 georefererad karta.tif", "S 4679-2022")</f>
        <v/>
      </c>
      <c r="AA22">
        <f>HYPERLINK("https://klasma.github.io/Logging_1272/klagomål/S 4679-2022 FSC-klagomål.docx", "S 4679-2022")</f>
        <v/>
      </c>
      <c r="AB22">
        <f>HYPERLINK("https://klasma.github.io/Logging_1272/klagomålsmail/S 4679-2022 FSC-klagomål mail.docx", "S 4679-2022")</f>
        <v/>
      </c>
      <c r="AC22">
        <f>HYPERLINK("https://klasma.github.io/Logging_1272/tillsyn/S 4679-2022 tillsynsbegäran.docx", "S 4679-2022")</f>
        <v/>
      </c>
      <c r="AD22">
        <f>HYPERLINK("https://klasma.github.io/Logging_1272/tillsynsmail/S 4679-2022 tillsynsbegäran mail.docx", "S 4679-2022")</f>
        <v/>
      </c>
    </row>
    <row r="23" ht="15" customHeight="1">
      <c r="A23" t="inlineStr">
        <is>
          <t>S 3887-2023</t>
        </is>
      </c>
      <c r="B23" t="inlineStr">
        <is>
          <t>samrådsanmälan</t>
        </is>
      </c>
      <c r="C23" t="inlineStr">
        <is>
          <t>Askåterföring</t>
        </is>
      </c>
      <c r="D23" s="1" t="n">
        <v>45230</v>
      </c>
      <c r="E23" s="1" t="n">
        <v>46326</v>
      </c>
      <c r="F23" t="inlineStr">
        <is>
          <t>SKÅNE LÄN</t>
        </is>
      </c>
      <c r="G23" t="inlineStr">
        <is>
          <t>BROMÖLLA</t>
        </is>
      </c>
      <c r="I23" t="n">
        <v>9.199999999999999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1</v>
      </c>
      <c r="U23" t="n">
        <v>0</v>
      </c>
      <c r="V23" s="2" t="inlineStr">
        <is>
          <t>Grå skärelav</t>
        </is>
      </c>
      <c r="W23">
        <f>HYPERLINK("https://klasma.github.io/Logging_1272/artfynd/S 3887-2023 artfynd.xlsx", "S 3887-2023")</f>
        <v/>
      </c>
      <c r="X23">
        <f>HYPERLINK("https://klasma.github.io/Logging_1272/kartor/S 3887-2023 karta.png", "S 3887-2023")</f>
        <v/>
      </c>
      <c r="Y23">
        <f>HYPERLINK("https://klasma.github.io/Logging_1272/kartor_geotiff/S 3887-2023 georefererad karta.tif", "S 3887-2023")</f>
        <v/>
      </c>
      <c r="AA23">
        <f>HYPERLINK("https://klasma.github.io/Logging_1272/klagomål/S 3887-2023 FSC-klagomål.docx", "S 3887-2023")</f>
        <v/>
      </c>
      <c r="AB23">
        <f>HYPERLINK("https://klasma.github.io/Logging_1272/klagomålsmail/S 3887-2023 FSC-klagomål mail.docx", "S 3887-2023")</f>
        <v/>
      </c>
      <c r="AC23">
        <f>HYPERLINK("https://klasma.github.io/Logging_1272/tillsyn/S 3887-2023 tillsynsbegäran.docx", "S 3887-2023")</f>
        <v/>
      </c>
      <c r="AD23">
        <f>HYPERLINK("https://klasma.github.io/Logging_1272/tillsynsmail/S 3887-2023 tillsynsbegäran mail.docx", "S 3887-2023")</f>
        <v/>
      </c>
    </row>
    <row r="24" ht="15" customHeight="1">
      <c r="A24" t="inlineStr">
        <is>
          <t>S 2338-2023</t>
        </is>
      </c>
      <c r="B24" t="inlineStr">
        <is>
          <t>samrådsanmälan</t>
        </is>
      </c>
      <c r="C24" t="inlineStr">
        <is>
          <t>Askåterföring</t>
        </is>
      </c>
      <c r="D24" s="1" t="n">
        <v>45106</v>
      </c>
      <c r="E24" s="1" t="n">
        <v>46326</v>
      </c>
      <c r="F24" t="inlineStr">
        <is>
          <t>SKÅNE LÄN</t>
        </is>
      </c>
      <c r="G24" t="inlineStr">
        <is>
          <t>BROMÖLLA</t>
        </is>
      </c>
      <c r="I24" t="n">
        <v>37.6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1</v>
      </c>
      <c r="U24" t="n">
        <v>0</v>
      </c>
      <c r="V24" s="2" t="inlineStr">
        <is>
          <t>Trädporella</t>
        </is>
      </c>
      <c r="W24">
        <f>HYPERLINK("https://klasma.github.io/Logging_1272/artfynd/S 2338-2023 artfynd.xlsx", "S 2338-2023")</f>
        <v/>
      </c>
      <c r="X24">
        <f>HYPERLINK("https://klasma.github.io/Logging_1272/kartor/S 2338-2023 karta.png", "S 2338-2023")</f>
        <v/>
      </c>
      <c r="Y24">
        <f>HYPERLINK("https://klasma.github.io/Logging_1272/kartor_geotiff/S 2338-2023 georefererad karta.tif", "S 2338-2023")</f>
        <v/>
      </c>
      <c r="AA24">
        <f>HYPERLINK("https://klasma.github.io/Logging_1272/klagomål/S 2338-2023 FSC-klagomål.docx", "S 2338-2023")</f>
        <v/>
      </c>
      <c r="AB24">
        <f>HYPERLINK("https://klasma.github.io/Logging_1272/klagomålsmail/S 2338-2023 FSC-klagomål mail.docx", "S 2338-2023")</f>
        <v/>
      </c>
      <c r="AC24">
        <f>HYPERLINK("https://klasma.github.io/Logging_1272/tillsyn/S 2338-2023 tillsynsbegäran.docx", "S 2338-2023")</f>
        <v/>
      </c>
      <c r="AD24">
        <f>HYPERLINK("https://klasma.github.io/Logging_1272/tillsynsmail/S 2338-2023 tillsynsbegäran mail.docx", "S 2338-2023")</f>
        <v/>
      </c>
    </row>
    <row r="25" ht="15" customHeight="1">
      <c r="A25" t="inlineStr">
        <is>
          <t>S 1329-2025</t>
        </is>
      </c>
      <c r="B25" t="inlineStr">
        <is>
          <t>samrådsanmälan</t>
        </is>
      </c>
      <c r="C25" t="inlineStr">
        <is>
          <t>Askåterföring</t>
        </is>
      </c>
      <c r="D25" s="1" t="n">
        <v>45770</v>
      </c>
      <c r="E25" s="1" t="n">
        <v>46326</v>
      </c>
      <c r="F25" t="inlineStr">
        <is>
          <t>SKÅNE LÄN</t>
        </is>
      </c>
      <c r="G25" t="inlineStr">
        <is>
          <t>BROMÖLLA</t>
        </is>
      </c>
      <c r="I25" t="n">
        <v>18.9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1</v>
      </c>
      <c r="S25" t="n">
        <v>1</v>
      </c>
      <c r="T25" t="n">
        <v>1</v>
      </c>
      <c r="U25" t="n">
        <v>0</v>
      </c>
      <c r="V25" s="2" t="inlineStr">
        <is>
          <t>Backsippa</t>
        </is>
      </c>
      <c r="W25">
        <f>HYPERLINK("https://klasma.github.io/Logging_1272/artfynd/S 1329-2025 artfynd.xlsx", "S 1329-2025")</f>
        <v/>
      </c>
      <c r="X25">
        <f>HYPERLINK("https://klasma.github.io/Logging_1272/kartor/S 1329-2025 karta.png", "S 1329-2025")</f>
        <v/>
      </c>
      <c r="Y25">
        <f>HYPERLINK("https://klasma.github.io/Logging_1272/kartor_geotiff/S 1329-2025 georefererad karta.tif", "S 1329-2025")</f>
        <v/>
      </c>
      <c r="AA25">
        <f>HYPERLINK("https://klasma.github.io/Logging_1272/klagomål/S 1329-2025 FSC-klagomål.docx", "S 1329-2025")</f>
        <v/>
      </c>
      <c r="AB25">
        <f>HYPERLINK("https://klasma.github.io/Logging_1272/klagomålsmail/S 1329-2025 FSC-klagomål mail.docx", "S 1329-2025")</f>
        <v/>
      </c>
      <c r="AC25">
        <f>HYPERLINK("https://klasma.github.io/Logging_1272/tillsyn/S 1329-2025 tillsynsbegäran.docx", "S 1329-2025")</f>
        <v/>
      </c>
      <c r="AD25">
        <f>HYPERLINK("https://klasma.github.io/Logging_1272/tillsynsmail/S 1329-2025 tillsynsbegäran mail.docx", "S 1329-2025")</f>
        <v/>
      </c>
    </row>
    <row r="26" ht="15" customHeight="1">
      <c r="A26" t="inlineStr">
        <is>
          <t>S 761-2025</t>
        </is>
      </c>
      <c r="B26" t="inlineStr">
        <is>
          <t>samrådsanmälan</t>
        </is>
      </c>
      <c r="C26" t="inlineStr">
        <is>
          <t>Askåterföring</t>
        </is>
      </c>
      <c r="D26" s="1" t="n">
        <v>45726</v>
      </c>
      <c r="E26" s="1" t="n">
        <v>46326</v>
      </c>
      <c r="F26" t="inlineStr">
        <is>
          <t>SKÅNE LÄN</t>
        </is>
      </c>
      <c r="G26" t="inlineStr">
        <is>
          <t>BROMÖLLA</t>
        </is>
      </c>
      <c r="I26" t="n">
        <v>14.5</v>
      </c>
      <c r="J26" t="n">
        <v>1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1</v>
      </c>
      <c r="T26" t="n">
        <v>1</v>
      </c>
      <c r="U26" t="n">
        <v>0</v>
      </c>
      <c r="V26" s="2" t="inlineStr">
        <is>
          <t>Bivråk</t>
        </is>
      </c>
      <c r="W26">
        <f>HYPERLINK("https://klasma.github.io/Logging_1272/artfynd/S 761-2025 artfynd.xlsx", "S 761-2025")</f>
        <v/>
      </c>
      <c r="X26">
        <f>HYPERLINK("https://klasma.github.io/Logging_1272/kartor/S 761-2025 karta.png", "S 761-2025")</f>
        <v/>
      </c>
      <c r="Y26">
        <f>HYPERLINK("https://klasma.github.io/Logging_1272/kartor_geotiff/S 761-2025 georefererad karta.tif", "S 761-2025")</f>
        <v/>
      </c>
      <c r="AA26">
        <f>HYPERLINK("https://klasma.github.io/Logging_1272/klagomål/S 761-2025 FSC-klagomål.docx", "S 761-2025")</f>
        <v/>
      </c>
      <c r="AB26">
        <f>HYPERLINK("https://klasma.github.io/Logging_1272/klagomålsmail/S 761-2025 FSC-klagomål mail.docx", "S 761-2025")</f>
        <v/>
      </c>
      <c r="AC26">
        <f>HYPERLINK("https://klasma.github.io/Logging_1272/tillsyn/S 761-2025 tillsynsbegäran.docx", "S 761-2025")</f>
        <v/>
      </c>
      <c r="AD26">
        <f>HYPERLINK("https://klasma.github.io/Logging_1272/tillsynsmail/S 761-2025 tillsynsbegäran mail.docx", "S 761-2025")</f>
        <v/>
      </c>
      <c r="AE26">
        <f>HYPERLINK("https://klasma.github.io/Logging_1272/fåglar/S 761-2025 prioriterade fågelarter.docx", "S 761-2025")</f>
        <v/>
      </c>
    </row>
    <row r="27" ht="15" customHeight="1">
      <c r="A27" t="inlineStr">
        <is>
          <t>S 836-2026</t>
        </is>
      </c>
      <c r="B27" t="inlineStr">
        <is>
          <t>samrådsanmälan</t>
        </is>
      </c>
      <c r="C27" t="inlineStr">
        <is>
          <t>Askåterföring</t>
        </is>
      </c>
      <c r="D27" s="1" t="n">
        <v>46104</v>
      </c>
      <c r="E27" s="1" t="n">
        <v>46326</v>
      </c>
      <c r="F27" t="inlineStr">
        <is>
          <t>SKÅNE LÄN</t>
        </is>
      </c>
      <c r="G27" t="inlineStr">
        <is>
          <t>BROMÖLLA</t>
        </is>
      </c>
      <c r="I27" t="n">
        <v>77.09999999999999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1</v>
      </c>
      <c r="U27" t="n">
        <v>0</v>
      </c>
      <c r="V27" s="2" t="inlineStr">
        <is>
          <t>Spillkråka</t>
        </is>
      </c>
      <c r="W27">
        <f>HYPERLINK("https://klasma.github.io/Logging_1272/artfynd/S 836-2026 artfynd.xlsx", "S 836-2026")</f>
        <v/>
      </c>
      <c r="X27">
        <f>HYPERLINK("https://klasma.github.io/Logging_1272/kartor/S 836-2026 karta.png", "S 836-2026")</f>
        <v/>
      </c>
      <c r="Y27">
        <f>HYPERLINK("https://klasma.github.io/Logging_1272/kartor_geotiff/S 836-2026 georefererad karta.tif", "S 836-2026")</f>
        <v/>
      </c>
      <c r="AA27">
        <f>HYPERLINK("https://klasma.github.io/Logging_1272/klagomål/S 836-2026 FSC-klagomål.docx", "S 836-2026")</f>
        <v/>
      </c>
      <c r="AB27">
        <f>HYPERLINK("https://klasma.github.io/Logging_1272/klagomålsmail/S 836-2026 FSC-klagomål mail.docx", "S 836-2026")</f>
        <v/>
      </c>
      <c r="AC27">
        <f>HYPERLINK("https://klasma.github.io/Logging_1272/tillsyn/S 836-2026 tillsynsbegäran.docx", "S 836-2026")</f>
        <v/>
      </c>
      <c r="AD27">
        <f>HYPERLINK("https://klasma.github.io/Logging_1272/tillsynsmail/S 836-2026 tillsynsbegäran mail.docx", "S 836-2026")</f>
        <v/>
      </c>
      <c r="AE27">
        <f>HYPERLINK("https://klasma.github.io/Logging_1272/fåglar/S 836-2026 prioriterade fågelarter.docx", "S 836-2026")</f>
        <v/>
      </c>
    </row>
    <row r="28" ht="15" customHeight="1">
      <c r="A28" t="inlineStr">
        <is>
          <t>S 1376-2026</t>
        </is>
      </c>
      <c r="B28" t="inlineStr">
        <is>
          <t>samrådsanmälan</t>
        </is>
      </c>
      <c r="C28" t="inlineStr">
        <is>
          <t>Askåterföring</t>
        </is>
      </c>
      <c r="D28" s="1" t="n">
        <v>46147</v>
      </c>
      <c r="E28" s="1" t="n">
        <v>46326</v>
      </c>
      <c r="F28" t="inlineStr">
        <is>
          <t>SKÅNE LÄN</t>
        </is>
      </c>
      <c r="G28" t="inlineStr">
        <is>
          <t>BROMÖLLA</t>
        </is>
      </c>
      <c r="I28" t="n">
        <v>30.1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1</v>
      </c>
      <c r="U28" t="n">
        <v>0</v>
      </c>
      <c r="V28" s="2" t="inlineStr">
        <is>
          <t>Spillkråka</t>
        </is>
      </c>
      <c r="W28">
        <f>HYPERLINK("https://klasma.github.io/Logging_1272/artfynd/S 1376-2026 artfynd.xlsx", "S 1376-2026")</f>
        <v/>
      </c>
      <c r="X28">
        <f>HYPERLINK("https://klasma.github.io/Logging_1272/kartor/S 1376-2026 karta.png", "S 1376-2026")</f>
        <v/>
      </c>
      <c r="Y28">
        <f>HYPERLINK("https://klasma.github.io/Logging_1272/kartor_geotiff/S 1376-2026 georefererad karta.tif", "S 1376-2026")</f>
        <v/>
      </c>
      <c r="AA28">
        <f>HYPERLINK("https://klasma.github.io/Logging_1272/klagomål/S 1376-2026 FSC-klagomål.docx", "S 1376-2026")</f>
        <v/>
      </c>
      <c r="AB28">
        <f>HYPERLINK("https://klasma.github.io/Logging_1272/klagomålsmail/S 1376-2026 FSC-klagomål mail.docx", "S 1376-2026")</f>
        <v/>
      </c>
      <c r="AC28">
        <f>HYPERLINK("https://klasma.github.io/Logging_1272/tillsyn/S 1376-2026 tillsynsbegäran.docx", "S 1376-2026")</f>
        <v/>
      </c>
      <c r="AD28">
        <f>HYPERLINK("https://klasma.github.io/Logging_1272/tillsynsmail/S 1376-2026 tillsynsbegäran mail.docx", "S 1376-2026")</f>
        <v/>
      </c>
      <c r="AE28">
        <f>HYPERLINK("https://klasma.github.io/Logging_1272/fåglar/S 1376-2026 prioriterade fågelarter.docx", "S 1376-2026")</f>
        <v/>
      </c>
    </row>
    <row r="29" ht="15" customHeight="1">
      <c r="A29" t="inlineStr">
        <is>
          <t>A 64621-2021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44511</v>
      </c>
      <c r="E29" s="1" t="n">
        <v>46326</v>
      </c>
      <c r="F29" t="inlineStr">
        <is>
          <t>SKÅNE LÄN</t>
        </is>
      </c>
      <c r="G29" t="inlineStr">
        <is>
          <t>BROMÖLLA</t>
        </is>
      </c>
      <c r="I29" t="n">
        <v>1.1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s="2" t="inlineStr"/>
    </row>
    <row r="30" ht="15" customHeight="1">
      <c r="A30" t="inlineStr">
        <is>
          <t>A 5320-2022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44594</v>
      </c>
      <c r="E30" s="1" t="n">
        <v>46326</v>
      </c>
      <c r="F30" t="inlineStr">
        <is>
          <t>SKÅNE LÄN</t>
        </is>
      </c>
      <c r="G30" t="inlineStr">
        <is>
          <t>BROMÖLLA</t>
        </is>
      </c>
      <c r="I30" t="n">
        <v>7.4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s="2" t="inlineStr"/>
    </row>
    <row r="31" ht="15" customHeight="1">
      <c r="A31" t="inlineStr">
        <is>
          <t>A 63681-2021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44509</v>
      </c>
      <c r="E31" s="1" t="n">
        <v>46326</v>
      </c>
      <c r="F31" t="inlineStr">
        <is>
          <t>SKÅNE LÄN</t>
        </is>
      </c>
      <c r="G31" t="inlineStr">
        <is>
          <t>BROMÖLLA</t>
        </is>
      </c>
      <c r="I31" t="n">
        <v>3.2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s="2" t="inlineStr"/>
    </row>
    <row r="32" ht="15" customHeight="1">
      <c r="A32" t="inlineStr">
        <is>
          <t>A 30978-2022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44768</v>
      </c>
      <c r="E32" s="1" t="n">
        <v>46326</v>
      </c>
      <c r="F32" t="inlineStr">
        <is>
          <t>SKÅNE LÄN</t>
        </is>
      </c>
      <c r="G32" t="inlineStr">
        <is>
          <t>BROMÖLLA</t>
        </is>
      </c>
      <c r="I32" t="n">
        <v>1.4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s="2" t="inlineStr"/>
    </row>
    <row r="33" ht="15" customHeight="1">
      <c r="A33" t="inlineStr">
        <is>
          <t>A 42963-2022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44833</v>
      </c>
      <c r="E33" s="1" t="n">
        <v>46326</v>
      </c>
      <c r="F33" t="inlineStr">
        <is>
          <t>SKÅNE LÄN</t>
        </is>
      </c>
      <c r="G33" t="inlineStr">
        <is>
          <t>BROMÖLLA</t>
        </is>
      </c>
      <c r="I33" t="n">
        <v>1.2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s="2" t="inlineStr"/>
    </row>
    <row r="34" ht="15" customHeight="1">
      <c r="A34" t="inlineStr">
        <is>
          <t>A 5816-2022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44596</v>
      </c>
      <c r="E34" s="1" t="n">
        <v>46326</v>
      </c>
      <c r="F34" t="inlineStr">
        <is>
          <t>SKÅNE LÄN</t>
        </is>
      </c>
      <c r="G34" t="inlineStr">
        <is>
          <t>BROMÖLLA</t>
        </is>
      </c>
      <c r="I34" t="n">
        <v>1.5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s="2" t="inlineStr"/>
    </row>
    <row r="35" ht="15" customHeight="1">
      <c r="A35" t="inlineStr">
        <is>
          <t>A 5779-2022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44596</v>
      </c>
      <c r="E35" s="1" t="n">
        <v>46326</v>
      </c>
      <c r="F35" t="inlineStr">
        <is>
          <t>SKÅNE LÄN</t>
        </is>
      </c>
      <c r="G35" t="inlineStr">
        <is>
          <t>BROMÖLLA</t>
        </is>
      </c>
      <c r="I35" t="n">
        <v>0.8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s="2" t="inlineStr"/>
    </row>
    <row r="36" ht="15" customHeight="1">
      <c r="A36" t="inlineStr">
        <is>
          <t>A 2448-2025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45674</v>
      </c>
      <c r="E36" s="1" t="n">
        <v>46326</v>
      </c>
      <c r="F36" t="inlineStr">
        <is>
          <t>SKÅNE LÄN</t>
        </is>
      </c>
      <c r="G36" t="inlineStr">
        <is>
          <t>BROMÖLLA</t>
        </is>
      </c>
      <c r="I36" t="n">
        <v>0.8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s="2" t="inlineStr"/>
    </row>
    <row r="37" ht="15" customHeight="1">
      <c r="A37" t="inlineStr">
        <is>
          <t>A 21980-2023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45068</v>
      </c>
      <c r="E37" s="1" t="n">
        <v>46326</v>
      </c>
      <c r="F37" t="inlineStr">
        <is>
          <t>SKÅNE LÄN</t>
        </is>
      </c>
      <c r="G37" t="inlineStr">
        <is>
          <t>BROMÖLLA</t>
        </is>
      </c>
      <c r="I37" t="n">
        <v>5.8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s="2" t="inlineStr"/>
    </row>
    <row r="38" ht="15" customHeight="1">
      <c r="A38" t="inlineStr">
        <is>
          <t>A 39455-2024</t>
        </is>
      </c>
      <c r="B38" t="inlineStr">
        <is>
          <t>avverkningsanmälan</t>
        </is>
      </c>
      <c r="C38" t="inlineStr">
        <is>
          <t>Avverkning för annat ändamål</t>
        </is>
      </c>
      <c r="D38" s="1" t="n">
        <v>45551</v>
      </c>
      <c r="E38" s="1" t="n">
        <v>46326</v>
      </c>
      <c r="F38" t="inlineStr">
        <is>
          <t>SKÅNE LÄN</t>
        </is>
      </c>
      <c r="G38" t="inlineStr">
        <is>
          <t>BROMÖLLA</t>
        </is>
      </c>
      <c r="I38" t="n">
        <v>1.4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s="2" t="inlineStr"/>
    </row>
    <row r="39" ht="15" customHeight="1">
      <c r="A39" t="inlineStr">
        <is>
          <t>A 30089-2023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45110</v>
      </c>
      <c r="E39" s="1" t="n">
        <v>46326</v>
      </c>
      <c r="F39" t="inlineStr">
        <is>
          <t>SKÅNE LÄN</t>
        </is>
      </c>
      <c r="G39" t="inlineStr">
        <is>
          <t>BROMÖLLA</t>
        </is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s="2" t="inlineStr"/>
    </row>
    <row r="40" ht="15" customHeight="1">
      <c r="A40" t="inlineStr">
        <is>
          <t>A 30112-2023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45110</v>
      </c>
      <c r="E40" s="1" t="n">
        <v>46326</v>
      </c>
      <c r="F40" t="inlineStr">
        <is>
          <t>SKÅNE LÄN</t>
        </is>
      </c>
      <c r="G40" t="inlineStr">
        <is>
          <t>BROMÖLLA</t>
        </is>
      </c>
      <c r="I40" t="n">
        <v>1.6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s="2" t="inlineStr"/>
    </row>
    <row r="41" ht="15" customHeight="1">
      <c r="A41" t="inlineStr">
        <is>
          <t>A 1566-2024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45306</v>
      </c>
      <c r="E41" s="1" t="n">
        <v>46326</v>
      </c>
      <c r="F41" t="inlineStr">
        <is>
          <t>SKÅNE LÄN</t>
        </is>
      </c>
      <c r="G41" t="inlineStr">
        <is>
          <t>BROMÖLLA</t>
        </is>
      </c>
      <c r="I41" t="n">
        <v>1.2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s="2" t="inlineStr"/>
    </row>
    <row r="42" ht="15" customHeight="1">
      <c r="A42" t="inlineStr">
        <is>
          <t>A 56056-2023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45233</v>
      </c>
      <c r="E42" s="1" t="n">
        <v>46326</v>
      </c>
      <c r="F42" t="inlineStr">
        <is>
          <t>SKÅNE LÄN</t>
        </is>
      </c>
      <c r="G42" t="inlineStr">
        <is>
          <t>BROMÖLLA</t>
        </is>
      </c>
      <c r="I42" t="n">
        <v>1.2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s="2" t="inlineStr"/>
    </row>
    <row r="43" ht="15" customHeight="1">
      <c r="A43" t="inlineStr">
        <is>
          <t>A 42748-2022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44831</v>
      </c>
      <c r="E43" s="1" t="n">
        <v>46326</v>
      </c>
      <c r="F43" t="inlineStr">
        <is>
          <t>SKÅNE LÄN</t>
        </is>
      </c>
      <c r="G43" t="inlineStr">
        <is>
          <t>BROMÖLLA</t>
        </is>
      </c>
      <c r="I43" t="n">
        <v>1.2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s="2" t="inlineStr"/>
    </row>
    <row r="44" ht="15" customHeight="1">
      <c r="A44" t="inlineStr">
        <is>
          <t>A 35804-2023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45148</v>
      </c>
      <c r="E44" s="1" t="n">
        <v>46326</v>
      </c>
      <c r="F44" t="inlineStr">
        <is>
          <t>SKÅNE LÄN</t>
        </is>
      </c>
      <c r="G44" t="inlineStr">
        <is>
          <t>BROMÖLLA</t>
        </is>
      </c>
      <c r="I44" t="n">
        <v>0.4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s="2" t="inlineStr"/>
    </row>
    <row r="45" ht="15" customHeight="1">
      <c r="A45" t="inlineStr">
        <is>
          <t>A 30101-2023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45110</v>
      </c>
      <c r="E45" s="1" t="n">
        <v>46326</v>
      </c>
      <c r="F45" t="inlineStr">
        <is>
          <t>SKÅNE LÄN</t>
        </is>
      </c>
      <c r="G45" t="inlineStr">
        <is>
          <t>BROMÖLLA</t>
        </is>
      </c>
      <c r="I45" t="n">
        <v>2.2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s="2" t="inlineStr"/>
    </row>
    <row r="46" ht="15" customHeight="1">
      <c r="A46" t="inlineStr">
        <is>
          <t>A 745-2024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45300</v>
      </c>
      <c r="E46" s="1" t="n">
        <v>46326</v>
      </c>
      <c r="F46" t="inlineStr">
        <is>
          <t>SKÅNE LÄN</t>
        </is>
      </c>
      <c r="G46" t="inlineStr">
        <is>
          <t>BROMÖLLA</t>
        </is>
      </c>
      <c r="I46" t="n">
        <v>1.5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s="2" t="inlineStr"/>
    </row>
    <row r="47" ht="15" customHeight="1">
      <c r="A47" t="inlineStr">
        <is>
          <t>A 12721-2023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45000</v>
      </c>
      <c r="E47" s="1" t="n">
        <v>46326</v>
      </c>
      <c r="F47" t="inlineStr">
        <is>
          <t>SKÅNE LÄN</t>
        </is>
      </c>
      <c r="G47" t="inlineStr">
        <is>
          <t>BROMÖLLA</t>
        </is>
      </c>
      <c r="I47" t="n">
        <v>0.8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s="2" t="inlineStr"/>
    </row>
    <row r="48" ht="15" customHeight="1">
      <c r="A48" t="inlineStr">
        <is>
          <t>A 54689-2023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45235</v>
      </c>
      <c r="E48" s="1" t="n">
        <v>46326</v>
      </c>
      <c r="F48" t="inlineStr">
        <is>
          <t>SKÅNE LÄN</t>
        </is>
      </c>
      <c r="G48" t="inlineStr">
        <is>
          <t>BROMÖLLA</t>
        </is>
      </c>
      <c r="I48" t="n">
        <v>3.2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s="2" t="inlineStr"/>
    </row>
    <row r="49" ht="15" customHeight="1">
      <c r="A49" t="inlineStr">
        <is>
          <t>A 2453-2025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45674</v>
      </c>
      <c r="E49" s="1" t="n">
        <v>46326</v>
      </c>
      <c r="F49" t="inlineStr">
        <is>
          <t>SKÅNE LÄN</t>
        </is>
      </c>
      <c r="G49" t="inlineStr">
        <is>
          <t>BROMÖLLA</t>
        </is>
      </c>
      <c r="I49" t="n">
        <v>0.2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s="2" t="inlineStr"/>
    </row>
    <row r="50" ht="15" customHeight="1">
      <c r="A50" t="inlineStr">
        <is>
          <t>A 40719-2022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44824</v>
      </c>
      <c r="E50" s="1" t="n">
        <v>46326</v>
      </c>
      <c r="F50" t="inlineStr">
        <is>
          <t>SKÅNE LÄN</t>
        </is>
      </c>
      <c r="G50" t="inlineStr">
        <is>
          <t>BROMÖLLA</t>
        </is>
      </c>
      <c r="I50" t="n">
        <v>1.1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s="2" t="inlineStr"/>
    </row>
    <row r="51" ht="15" customHeight="1">
      <c r="A51" t="inlineStr">
        <is>
          <t>A 43276-2023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45180</v>
      </c>
      <c r="E51" s="1" t="n">
        <v>46326</v>
      </c>
      <c r="F51" t="inlineStr">
        <is>
          <t>SKÅNE LÄN</t>
        </is>
      </c>
      <c r="G51" t="inlineStr">
        <is>
          <t>BROMÖLLA</t>
        </is>
      </c>
      <c r="I51" t="n">
        <v>5.6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s="2" t="inlineStr"/>
    </row>
    <row r="52" ht="15" customHeight="1">
      <c r="A52" t="inlineStr">
        <is>
          <t>A 57181-2024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45629</v>
      </c>
      <c r="E52" s="1" t="n">
        <v>46326</v>
      </c>
      <c r="F52" t="inlineStr">
        <is>
          <t>SKÅNE LÄN</t>
        </is>
      </c>
      <c r="G52" t="inlineStr">
        <is>
          <t>BROMÖLLA</t>
        </is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s="2" t="inlineStr"/>
    </row>
    <row r="53" ht="15" customHeight="1">
      <c r="A53" t="inlineStr">
        <is>
          <t>A 27965-2025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45817</v>
      </c>
      <c r="E53" s="1" t="n">
        <v>46326</v>
      </c>
      <c r="F53" t="inlineStr">
        <is>
          <t>SKÅNE LÄN</t>
        </is>
      </c>
      <c r="G53" t="inlineStr">
        <is>
          <t>BROMÖLLA</t>
        </is>
      </c>
      <c r="I53" t="n">
        <v>12.7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s="2" t="inlineStr"/>
    </row>
    <row r="54" ht="15" customHeight="1">
      <c r="A54" t="inlineStr">
        <is>
          <t>A 10275-2024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45365</v>
      </c>
      <c r="E54" s="1" t="n">
        <v>46326</v>
      </c>
      <c r="F54" t="inlineStr">
        <is>
          <t>SKÅNE LÄN</t>
        </is>
      </c>
      <c r="G54" t="inlineStr">
        <is>
          <t>BROMÖLLA</t>
        </is>
      </c>
      <c r="I54" t="n">
        <v>0.4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s="2" t="inlineStr"/>
    </row>
    <row r="55" ht="15" customHeight="1">
      <c r="A55" t="inlineStr">
        <is>
          <t>A 49831-2022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44862</v>
      </c>
      <c r="E55" s="1" t="n">
        <v>46326</v>
      </c>
      <c r="F55" t="inlineStr">
        <is>
          <t>SKÅNE LÄN</t>
        </is>
      </c>
      <c r="G55" t="inlineStr">
        <is>
          <t>BROMÖLLA</t>
        </is>
      </c>
      <c r="I55" t="n">
        <v>1.6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s="2" t="inlineStr"/>
    </row>
    <row r="56" ht="15" customHeight="1">
      <c r="A56" t="inlineStr">
        <is>
          <t>A 11861-2025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45728</v>
      </c>
      <c r="E56" s="1" t="n">
        <v>46326</v>
      </c>
      <c r="F56" t="inlineStr">
        <is>
          <t>SKÅNE LÄN</t>
        </is>
      </c>
      <c r="G56" t="inlineStr">
        <is>
          <t>BROMÖLLA</t>
        </is>
      </c>
      <c r="I56" t="n">
        <v>2.1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s="2" t="inlineStr"/>
    </row>
    <row r="57" ht="15" customHeight="1">
      <c r="A57" t="inlineStr">
        <is>
          <t>A 34216-2023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45126</v>
      </c>
      <c r="E57" s="1" t="n">
        <v>46326</v>
      </c>
      <c r="F57" t="inlineStr">
        <is>
          <t>SKÅNE LÄN</t>
        </is>
      </c>
      <c r="G57" t="inlineStr">
        <is>
          <t>BROMÖLLA</t>
        </is>
      </c>
      <c r="H57" t="inlineStr">
        <is>
          <t>Kyrkan</t>
        </is>
      </c>
      <c r="I57" t="n">
        <v>0.9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s="2" t="inlineStr"/>
    </row>
    <row r="58" ht="15" customHeight="1">
      <c r="A58" t="inlineStr">
        <is>
          <t>A 35798-2023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45148</v>
      </c>
      <c r="E58" s="1" t="n">
        <v>46326</v>
      </c>
      <c r="F58" t="inlineStr">
        <is>
          <t>SKÅNE LÄN</t>
        </is>
      </c>
      <c r="G58" t="inlineStr">
        <is>
          <t>BROMÖLLA</t>
        </is>
      </c>
      <c r="I58" t="n">
        <v>0.4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s="2" t="inlineStr"/>
    </row>
    <row r="59" ht="15" customHeight="1">
      <c r="A59" t="inlineStr">
        <is>
          <t>A 8366-2026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46064</v>
      </c>
      <c r="E59" s="1" t="n">
        <v>46326</v>
      </c>
      <c r="F59" t="inlineStr">
        <is>
          <t>SKÅNE LÄN</t>
        </is>
      </c>
      <c r="G59" t="inlineStr">
        <is>
          <t>BROMÖLLA</t>
        </is>
      </c>
      <c r="I59" t="n">
        <v>1.6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s="2" t="inlineStr"/>
    </row>
    <row r="60" ht="15" customHeight="1">
      <c r="A60" t="inlineStr">
        <is>
          <t>A 9508-2026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46071</v>
      </c>
      <c r="E60" s="1" t="n">
        <v>46326</v>
      </c>
      <c r="F60" t="inlineStr">
        <is>
          <t>SKÅNE LÄN</t>
        </is>
      </c>
      <c r="G60" t="inlineStr">
        <is>
          <t>BROMÖLLA</t>
        </is>
      </c>
      <c r="I60" t="n">
        <v>3.2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s="2" t="inlineStr"/>
    </row>
    <row r="61" ht="15" customHeight="1">
      <c r="A61" t="inlineStr">
        <is>
          <t>A 9509-2026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46071</v>
      </c>
      <c r="E61" s="1" t="n">
        <v>46326</v>
      </c>
      <c r="F61" t="inlineStr">
        <is>
          <t>SKÅNE LÄN</t>
        </is>
      </c>
      <c r="G61" t="inlineStr">
        <is>
          <t>BROMÖLLA</t>
        </is>
      </c>
      <c r="I61" t="n">
        <v>3.2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s="2" t="inlineStr"/>
    </row>
    <row r="62" ht="15" customHeight="1">
      <c r="A62" t="inlineStr">
        <is>
          <t>A 17253-2023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45033</v>
      </c>
      <c r="E62" s="1" t="n">
        <v>46326</v>
      </c>
      <c r="F62" t="inlineStr">
        <is>
          <t>SKÅNE LÄN</t>
        </is>
      </c>
      <c r="G62" t="inlineStr">
        <is>
          <t>BROMÖLLA</t>
        </is>
      </c>
      <c r="I62" t="n">
        <v>1.1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s="2" t="inlineStr"/>
    </row>
    <row r="63" ht="15" customHeight="1">
      <c r="A63" t="inlineStr">
        <is>
          <t>A 55762-2025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45972</v>
      </c>
      <c r="E63" s="1" t="n">
        <v>46326</v>
      </c>
      <c r="F63" t="inlineStr">
        <is>
          <t>SKÅNE LÄN</t>
        </is>
      </c>
      <c r="G63" t="inlineStr">
        <is>
          <t>BROMÖLLA</t>
        </is>
      </c>
      <c r="I63" t="n">
        <v>2.3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2" t="inlineStr"/>
    </row>
    <row r="64" ht="15" customHeight="1">
      <c r="A64" t="inlineStr">
        <is>
          <t>A 31404-2025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45833</v>
      </c>
      <c r="E64" s="1" t="n">
        <v>46326</v>
      </c>
      <c r="F64" t="inlineStr">
        <is>
          <t>SKÅNE LÄN</t>
        </is>
      </c>
      <c r="G64" t="inlineStr">
        <is>
          <t>BROMÖLLA</t>
        </is>
      </c>
      <c r="I64" t="n">
        <v>3.2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2" t="inlineStr"/>
    </row>
    <row r="65" ht="15" customHeight="1">
      <c r="A65" t="inlineStr">
        <is>
          <t>A 28870-2023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45104</v>
      </c>
      <c r="E65" s="1" t="n">
        <v>46326</v>
      </c>
      <c r="F65" t="inlineStr">
        <is>
          <t>SKÅNE LÄN</t>
        </is>
      </c>
      <c r="G65" t="inlineStr">
        <is>
          <t>BROMÖLLA</t>
        </is>
      </c>
      <c r="I65" t="n">
        <v>0.7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inlineStr"/>
    </row>
    <row r="66" ht="15" customHeight="1">
      <c r="A66" t="inlineStr">
        <is>
          <t>A 12685-2024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45384</v>
      </c>
      <c r="E66" s="1" t="n">
        <v>46326</v>
      </c>
      <c r="F66" t="inlineStr">
        <is>
          <t>SKÅNE LÄN</t>
        </is>
      </c>
      <c r="G66" t="inlineStr">
        <is>
          <t>BROMÖLLA</t>
        </is>
      </c>
      <c r="I66" t="n">
        <v>3.7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inlineStr"/>
    </row>
    <row r="67" ht="15" customHeight="1">
      <c r="A67" t="inlineStr">
        <is>
          <t>A 55901-2024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45622</v>
      </c>
      <c r="E67" s="1" t="n">
        <v>46326</v>
      </c>
      <c r="F67" t="inlineStr">
        <is>
          <t>SKÅNE LÄN</t>
        </is>
      </c>
      <c r="G67" t="inlineStr">
        <is>
          <t>BROMÖLLA</t>
        </is>
      </c>
      <c r="I67" t="n">
        <v>6.4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 ht="15" customHeight="1">
      <c r="A68" t="inlineStr">
        <is>
          <t>A 60698-2025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45996</v>
      </c>
      <c r="E68" s="1" t="n">
        <v>46326</v>
      </c>
      <c r="F68" t="inlineStr">
        <is>
          <t>SKÅNE LÄN</t>
        </is>
      </c>
      <c r="G68" t="inlineStr">
        <is>
          <t>BROMÖLLA</t>
        </is>
      </c>
      <c r="I68" t="n">
        <v>0.8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  <row r="69" ht="15" customHeight="1">
      <c r="A69" t="inlineStr">
        <is>
          <t>A 60696-2025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45996</v>
      </c>
      <c r="E69" s="1" t="n">
        <v>46326</v>
      </c>
      <c r="F69" t="inlineStr">
        <is>
          <t>SKÅNE LÄN</t>
        </is>
      </c>
      <c r="G69" t="inlineStr">
        <is>
          <t>BROMÖLLA</t>
        </is>
      </c>
      <c r="I69" t="n">
        <v>0.5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  <row r="70" ht="15" customHeight="1">
      <c r="A70" t="inlineStr">
        <is>
          <t>A 814-2024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45300</v>
      </c>
      <c r="E70" s="1" t="n">
        <v>46326</v>
      </c>
      <c r="F70" t="inlineStr">
        <is>
          <t>SKÅNE LÄN</t>
        </is>
      </c>
      <c r="G70" t="inlineStr">
        <is>
          <t>BROMÖLLA</t>
        </is>
      </c>
      <c r="I70" t="n">
        <v>3.4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36086-2025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45866</v>
      </c>
      <c r="E71" s="1" t="n">
        <v>46326</v>
      </c>
      <c r="F71" t="inlineStr">
        <is>
          <t>SKÅNE LÄN</t>
        </is>
      </c>
      <c r="G71" t="inlineStr">
        <is>
          <t>BROMÖLLA</t>
        </is>
      </c>
      <c r="I71" t="n">
        <v>2.9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  <row r="72" ht="15" customHeight="1">
      <c r="A72" t="inlineStr">
        <is>
          <t>A 32272-2024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45512</v>
      </c>
      <c r="E72" s="1" t="n">
        <v>46326</v>
      </c>
      <c r="F72" t="inlineStr">
        <is>
          <t>SKÅNE LÄN</t>
        </is>
      </c>
      <c r="G72" t="inlineStr">
        <is>
          <t>BROMÖLLA</t>
        </is>
      </c>
      <c r="I72" t="n">
        <v>2.6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51078-2025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45947</v>
      </c>
      <c r="E73" s="1" t="n">
        <v>46326</v>
      </c>
      <c r="F73" t="inlineStr">
        <is>
          <t>SKÅNE LÄN</t>
        </is>
      </c>
      <c r="G73" t="inlineStr">
        <is>
          <t>BROMÖLLA</t>
        </is>
      </c>
      <c r="I73" t="n">
        <v>3.1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61701-2022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44911</v>
      </c>
      <c r="E74" s="1" t="n">
        <v>46326</v>
      </c>
      <c r="F74" t="inlineStr">
        <is>
          <t>SKÅNE LÄN</t>
        </is>
      </c>
      <c r="G74" t="inlineStr">
        <is>
          <t>BROMÖLLA</t>
        </is>
      </c>
      <c r="H74" t="inlineStr">
        <is>
          <t>Kyrkan</t>
        </is>
      </c>
      <c r="I74" t="n">
        <v>4.2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20136-2026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46136</v>
      </c>
      <c r="E75" s="1" t="n">
        <v>46326</v>
      </c>
      <c r="F75" t="inlineStr">
        <is>
          <t>SKÅNE LÄN</t>
        </is>
      </c>
      <c r="G75" t="inlineStr">
        <is>
          <t>BROMÖLLA</t>
        </is>
      </c>
      <c r="I75" t="n">
        <v>2.1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36421-2022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44804</v>
      </c>
      <c r="E76" s="1" t="n">
        <v>46326</v>
      </c>
      <c r="F76" t="inlineStr">
        <is>
          <t>SKÅNE LÄN</t>
        </is>
      </c>
      <c r="G76" t="inlineStr">
        <is>
          <t>BROMÖLLA</t>
        </is>
      </c>
      <c r="I76" t="n">
        <v>2.7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42909-2024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45566</v>
      </c>
      <c r="E77" s="1" t="n">
        <v>46326</v>
      </c>
      <c r="F77" t="inlineStr">
        <is>
          <t>SKÅNE LÄN</t>
        </is>
      </c>
      <c r="G77" t="inlineStr">
        <is>
          <t>BROMÖLLA</t>
        </is>
      </c>
      <c r="I77" t="n">
        <v>0.9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39284-2025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45889</v>
      </c>
      <c r="E78" s="1" t="n">
        <v>46326</v>
      </c>
      <c r="F78" t="inlineStr">
        <is>
          <t>SKÅNE LÄN</t>
        </is>
      </c>
      <c r="G78" t="inlineStr">
        <is>
          <t>BROMÖLLA</t>
        </is>
      </c>
      <c r="I78" t="n">
        <v>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576-2024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45299</v>
      </c>
      <c r="E79" s="1" t="n">
        <v>46326</v>
      </c>
      <c r="F79" t="inlineStr">
        <is>
          <t>SKÅNE LÄN</t>
        </is>
      </c>
      <c r="G79" t="inlineStr">
        <is>
          <t>BROMÖLLA</t>
        </is>
      </c>
      <c r="I79" t="n">
        <v>1.3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56360-2023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45243</v>
      </c>
      <c r="E80" s="1" t="n">
        <v>46326</v>
      </c>
      <c r="F80" t="inlineStr">
        <is>
          <t>SKÅNE LÄN</t>
        </is>
      </c>
      <c r="G80" t="inlineStr">
        <is>
          <t>BROMÖLLA</t>
        </is>
      </c>
      <c r="I80" t="n">
        <v>0.5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48974-2025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45937</v>
      </c>
      <c r="E81" s="1" t="n">
        <v>46326</v>
      </c>
      <c r="F81" t="inlineStr">
        <is>
          <t>SKÅNE LÄN</t>
        </is>
      </c>
      <c r="G81" t="inlineStr">
        <is>
          <t>BROMÖLLA</t>
        </is>
      </c>
      <c r="I81" t="n">
        <v>1.1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11454-2023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44993</v>
      </c>
      <c r="E82" s="1" t="n">
        <v>46326</v>
      </c>
      <c r="F82" t="inlineStr">
        <is>
          <t>SKÅNE LÄN</t>
        </is>
      </c>
      <c r="G82" t="inlineStr">
        <is>
          <t>BROMÖLLA</t>
        </is>
      </c>
      <c r="I82" t="n">
        <v>3.3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52307-2023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45217</v>
      </c>
      <c r="E83" s="1" t="n">
        <v>46326</v>
      </c>
      <c r="F83" t="inlineStr">
        <is>
          <t>SKÅNE LÄN</t>
        </is>
      </c>
      <c r="G83" t="inlineStr">
        <is>
          <t>BROMÖLLA</t>
        </is>
      </c>
      <c r="I83" t="n">
        <v>1.1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47315-2023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45196</v>
      </c>
      <c r="E84" s="1" t="n">
        <v>46326</v>
      </c>
      <c r="F84" t="inlineStr">
        <is>
          <t>SKÅNE LÄN</t>
        </is>
      </c>
      <c r="G84" t="inlineStr">
        <is>
          <t>BROMÖLLA</t>
        </is>
      </c>
      <c r="I84" t="n">
        <v>2.8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26765-2026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46184</v>
      </c>
      <c r="E85" s="1" t="n">
        <v>46326</v>
      </c>
      <c r="F85" t="inlineStr">
        <is>
          <t>SKÅNE LÄN</t>
        </is>
      </c>
      <c r="G85" t="inlineStr">
        <is>
          <t>BROMÖLLA</t>
        </is>
      </c>
      <c r="I85" t="n">
        <v>4.6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42912-2024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45566</v>
      </c>
      <c r="E86" s="1" t="n">
        <v>46326</v>
      </c>
      <c r="F86" t="inlineStr">
        <is>
          <t>SKÅNE LÄN</t>
        </is>
      </c>
      <c r="G86" t="inlineStr">
        <is>
          <t>BROMÖLLA</t>
        </is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35802-2023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45148</v>
      </c>
      <c r="E87" s="1" t="n">
        <v>46326</v>
      </c>
      <c r="F87" t="inlineStr">
        <is>
          <t>SKÅNE LÄN</t>
        </is>
      </c>
      <c r="G87" t="inlineStr">
        <is>
          <t>BROMÖLLA</t>
        </is>
      </c>
      <c r="I87" t="n">
        <v>0.4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28129-2026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46195</v>
      </c>
      <c r="E88" s="1" t="n">
        <v>46326</v>
      </c>
      <c r="F88" t="inlineStr">
        <is>
          <t>SKÅNE LÄN</t>
        </is>
      </c>
      <c r="G88" t="inlineStr">
        <is>
          <t>BROMÖLLA</t>
        </is>
      </c>
      <c r="I88" t="n">
        <v>1.5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31649-2023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45117</v>
      </c>
      <c r="E89" s="1" t="n">
        <v>46326</v>
      </c>
      <c r="F89" t="inlineStr">
        <is>
          <t>SKÅNE LÄN</t>
        </is>
      </c>
      <c r="G89" t="inlineStr">
        <is>
          <t>BROMÖLLA</t>
        </is>
      </c>
      <c r="I89" t="n">
        <v>2.2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33255-2023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45127</v>
      </c>
      <c r="E90" s="1" t="n">
        <v>46326</v>
      </c>
      <c r="F90" t="inlineStr">
        <is>
          <t>SKÅNE LÄN</t>
        </is>
      </c>
      <c r="G90" t="inlineStr">
        <is>
          <t>BROMÖLLA</t>
        </is>
      </c>
      <c r="I90" t="n">
        <v>3.6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41254-2023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45174</v>
      </c>
      <c r="E91" s="1" t="n">
        <v>46326</v>
      </c>
      <c r="F91" t="inlineStr">
        <is>
          <t>SKÅNE LÄN</t>
        </is>
      </c>
      <c r="G91" t="inlineStr">
        <is>
          <t>BROMÖLLA</t>
        </is>
      </c>
      <c r="I91" t="n">
        <v>0.5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48738-2023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45208</v>
      </c>
      <c r="E92" s="1" t="n">
        <v>46326</v>
      </c>
      <c r="F92" t="inlineStr">
        <is>
          <t>SKÅNE LÄN</t>
        </is>
      </c>
      <c r="G92" t="inlineStr">
        <is>
          <t>BROMÖLLA</t>
        </is>
      </c>
      <c r="I92" t="n">
        <v>0.9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30075-2023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45110</v>
      </c>
      <c r="E93" s="1" t="n">
        <v>46326</v>
      </c>
      <c r="F93" t="inlineStr">
        <is>
          <t>SKÅNE LÄN</t>
        </is>
      </c>
      <c r="G93" t="inlineStr">
        <is>
          <t>BROMÖLLA</t>
        </is>
      </c>
      <c r="I93" t="n">
        <v>5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31810-2026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46230</v>
      </c>
      <c r="E94" s="1" t="n">
        <v>46326</v>
      </c>
      <c r="F94" t="inlineStr">
        <is>
          <t>SKÅNE LÄN</t>
        </is>
      </c>
      <c r="G94" t="inlineStr">
        <is>
          <t>BROMÖLLA</t>
        </is>
      </c>
      <c r="I94" t="n">
        <v>0.8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31815-2026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46230</v>
      </c>
      <c r="E95" s="1" t="n">
        <v>46326</v>
      </c>
      <c r="F95" t="inlineStr">
        <is>
          <t>SKÅNE LÄN</t>
        </is>
      </c>
      <c r="G95" t="inlineStr">
        <is>
          <t>BROMÖLLA</t>
        </is>
      </c>
      <c r="I95" t="n">
        <v>0.8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42333-2023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45180</v>
      </c>
      <c r="E96" s="1" t="n">
        <v>46326</v>
      </c>
      <c r="F96" t="inlineStr">
        <is>
          <t>SKÅNE LÄN</t>
        </is>
      </c>
      <c r="G96" t="inlineStr">
        <is>
          <t>BROMÖLLA</t>
        </is>
      </c>
      <c r="I96" t="n">
        <v>0.7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9006-2024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45357</v>
      </c>
      <c r="E97" s="1" t="n">
        <v>46326</v>
      </c>
      <c r="F97" t="inlineStr">
        <is>
          <t>SKÅNE LÄN</t>
        </is>
      </c>
      <c r="G97" t="inlineStr">
        <is>
          <t>BROMÖLLA</t>
        </is>
      </c>
      <c r="I97" t="n">
        <v>1.7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41253-2023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45174</v>
      </c>
      <c r="E98" s="1" t="n">
        <v>46326</v>
      </c>
      <c r="F98" t="inlineStr">
        <is>
          <t>SKÅNE LÄN</t>
        </is>
      </c>
      <c r="G98" t="inlineStr">
        <is>
          <t>BROMÖLLA</t>
        </is>
      </c>
      <c r="I98" t="n">
        <v>0.5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17517-2024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45415</v>
      </c>
      <c r="E99" s="1" t="n">
        <v>46326</v>
      </c>
      <c r="F99" t="inlineStr">
        <is>
          <t>SKÅNE LÄN</t>
        </is>
      </c>
      <c r="G99" t="inlineStr">
        <is>
          <t>BROMÖLLA</t>
        </is>
      </c>
      <c r="I99" t="n">
        <v>0.5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46733-2023</t>
        </is>
      </c>
      <c r="B100" t="inlineStr">
        <is>
          <t>avverkningsanmälan</t>
        </is>
      </c>
      <c r="C100" t="inlineStr">
        <is>
          <t>Avverkning för annat ändamål</t>
        </is>
      </c>
      <c r="D100" s="1" t="n">
        <v>45195</v>
      </c>
      <c r="E100" s="1" t="n">
        <v>46326</v>
      </c>
      <c r="F100" t="inlineStr">
        <is>
          <t>SKÅNE LÄN</t>
        </is>
      </c>
      <c r="G100" t="inlineStr">
        <is>
          <t>BROMÖLLA</t>
        </is>
      </c>
      <c r="I100" t="n">
        <v>0.8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30407-2024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45491</v>
      </c>
      <c r="E101" s="1" t="n">
        <v>46326</v>
      </c>
      <c r="F101" t="inlineStr">
        <is>
          <t>SKÅNE LÄN</t>
        </is>
      </c>
      <c r="G101" t="inlineStr">
        <is>
          <t>BROMÖLLA</t>
        </is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41398-2026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46300</v>
      </c>
      <c r="E102" s="1" t="n">
        <v>46326</v>
      </c>
      <c r="F102" t="inlineStr">
        <is>
          <t>SKÅNE LÄN</t>
        </is>
      </c>
      <c r="G102" t="inlineStr">
        <is>
          <t>BROMÖLLA</t>
        </is>
      </c>
      <c r="I102" t="n">
        <v>1.5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26477-2026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46183</v>
      </c>
      <c r="E103" s="1" t="n">
        <v>46326</v>
      </c>
      <c r="F103" t="inlineStr">
        <is>
          <t>SKÅNE LÄN</t>
        </is>
      </c>
      <c r="G103" t="inlineStr">
        <is>
          <t>BROMÖLLA</t>
        </is>
      </c>
      <c r="I103" t="n">
        <v>15.6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43516-2026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46315</v>
      </c>
      <c r="E104" s="1" t="n">
        <v>46326</v>
      </c>
      <c r="F104" t="inlineStr">
        <is>
          <t>SKÅNE LÄN</t>
        </is>
      </c>
      <c r="G104" t="inlineStr">
        <is>
          <t>BROMÖLLA</t>
        </is>
      </c>
      <c r="I104" t="n">
        <v>0.5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43517-2026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46315</v>
      </c>
      <c r="E105" s="1" t="n">
        <v>46326</v>
      </c>
      <c r="F105" t="inlineStr">
        <is>
          <t>SKÅNE LÄN</t>
        </is>
      </c>
      <c r="G105" t="inlineStr">
        <is>
          <t>BROMÖLLA</t>
        </is>
      </c>
      <c r="I105" t="n">
        <v>1.2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44757-2026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46322</v>
      </c>
      <c r="E106" s="1" t="n">
        <v>46326</v>
      </c>
      <c r="F106" t="inlineStr">
        <is>
          <t>SKÅNE LÄN</t>
        </is>
      </c>
      <c r="G106" t="inlineStr">
        <is>
          <t>BROMÖLLA</t>
        </is>
      </c>
      <c r="I106" t="n">
        <v>3.5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S 177-2025</t>
        </is>
      </c>
      <c r="B107" t="inlineStr">
        <is>
          <t>samrådsanmälan</t>
        </is>
      </c>
      <c r="C107" t="inlineStr">
        <is>
          <t>Askåterföring</t>
        </is>
      </c>
      <c r="D107" s="1" t="n">
        <v>45677</v>
      </c>
      <c r="E107" s="1" t="n">
        <v>46326</v>
      </c>
      <c r="F107" t="inlineStr">
        <is>
          <t>SKÅNE LÄN</t>
        </is>
      </c>
      <c r="G107" t="inlineStr">
        <is>
          <t>BROMÖLLA</t>
        </is>
      </c>
      <c r="I107" t="n">
        <v>8.800000000000001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S 336-2024</t>
        </is>
      </c>
      <c r="B108" t="inlineStr">
        <is>
          <t>samrådsanmälan</t>
        </is>
      </c>
      <c r="C108" t="inlineStr">
        <is>
          <t>Askåterföring</t>
        </is>
      </c>
      <c r="D108" s="1" t="n">
        <v>45328</v>
      </c>
      <c r="E108" s="1" t="n">
        <v>46326</v>
      </c>
      <c r="F108" t="inlineStr">
        <is>
          <t>SKÅNE LÄN</t>
        </is>
      </c>
      <c r="G108" t="inlineStr">
        <is>
          <t>BROMÖLLA</t>
        </is>
      </c>
      <c r="I108" t="n">
        <v>25.6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S 181-2025</t>
        </is>
      </c>
      <c r="B109" t="inlineStr">
        <is>
          <t>samrådsanmälan</t>
        </is>
      </c>
      <c r="C109" t="inlineStr">
        <is>
          <t>Askåterföring</t>
        </is>
      </c>
      <c r="D109" s="1" t="n">
        <v>45677</v>
      </c>
      <c r="E109" s="1" t="n">
        <v>46326</v>
      </c>
      <c r="F109" t="inlineStr">
        <is>
          <t>SKÅNE LÄN</t>
        </is>
      </c>
      <c r="G109" t="inlineStr">
        <is>
          <t>BROMÖLLA</t>
        </is>
      </c>
      <c r="I109" t="n">
        <v>12.8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S 4689-2022</t>
        </is>
      </c>
      <c r="B110" t="inlineStr">
        <is>
          <t>samrådsanmälan</t>
        </is>
      </c>
      <c r="C110" t="inlineStr">
        <is>
          <t>Askåterföring</t>
        </is>
      </c>
      <c r="D110" s="1" t="n">
        <v>44796</v>
      </c>
      <c r="E110" s="1" t="n">
        <v>46326</v>
      </c>
      <c r="F110" t="inlineStr">
        <is>
          <t>SKÅNE LÄN</t>
        </is>
      </c>
      <c r="G110" t="inlineStr">
        <is>
          <t>BROMÖLLA</t>
        </is>
      </c>
      <c r="I110" t="n">
        <v>34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S 1864-2024</t>
        </is>
      </c>
      <c r="B111" t="inlineStr">
        <is>
          <t>samrådsanmälan</t>
        </is>
      </c>
      <c r="C111" t="inlineStr">
        <is>
          <t>Askåterföring</t>
        </is>
      </c>
      <c r="D111" s="1" t="n">
        <v>45440</v>
      </c>
      <c r="E111" s="1" t="n">
        <v>46326</v>
      </c>
      <c r="F111" t="inlineStr">
        <is>
          <t>SKÅNE LÄN</t>
        </is>
      </c>
      <c r="G111" t="inlineStr">
        <is>
          <t>BROMÖLLA</t>
        </is>
      </c>
      <c r="I111" t="n">
        <v>5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S 180-2025</t>
        </is>
      </c>
      <c r="B112" t="inlineStr">
        <is>
          <t>samrådsanmälan</t>
        </is>
      </c>
      <c r="C112" t="inlineStr">
        <is>
          <t>Askåterföring</t>
        </is>
      </c>
      <c r="D112" s="1" t="n">
        <v>45677</v>
      </c>
      <c r="E112" s="1" t="n">
        <v>46326</v>
      </c>
      <c r="F112" t="inlineStr">
        <is>
          <t>SKÅNE LÄN</t>
        </is>
      </c>
      <c r="G112" t="inlineStr">
        <is>
          <t>BROMÖLLA</t>
        </is>
      </c>
      <c r="I112" t="n">
        <v>11.6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S 205-2024</t>
        </is>
      </c>
      <c r="B113" t="inlineStr">
        <is>
          <t>samrådsanmälan</t>
        </is>
      </c>
      <c r="C113" t="inlineStr">
        <is>
          <t>Askåterföring</t>
        </is>
      </c>
      <c r="D113" s="1" t="n">
        <v>45315</v>
      </c>
      <c r="E113" s="1" t="n">
        <v>46326</v>
      </c>
      <c r="F113" t="inlineStr">
        <is>
          <t>SKÅNE LÄN</t>
        </is>
      </c>
      <c r="G113" t="inlineStr">
        <is>
          <t>BROMÖLLA</t>
        </is>
      </c>
      <c r="I113" t="n">
        <v>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S 2344-2023</t>
        </is>
      </c>
      <c r="B114" t="inlineStr">
        <is>
          <t>samrådsanmälan</t>
        </is>
      </c>
      <c r="C114" t="inlineStr">
        <is>
          <t>Askåterföring</t>
        </is>
      </c>
      <c r="D114" s="1" t="n">
        <v>45106</v>
      </c>
      <c r="E114" s="1" t="n">
        <v>46326</v>
      </c>
      <c r="F114" t="inlineStr">
        <is>
          <t>SKÅNE LÄN</t>
        </is>
      </c>
      <c r="G114" t="inlineStr">
        <is>
          <t>BROMÖLLA</t>
        </is>
      </c>
      <c r="I114" t="n">
        <v>29.9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S 2345-2023</t>
        </is>
      </c>
      <c r="B115" t="inlineStr">
        <is>
          <t>samrådsanmälan</t>
        </is>
      </c>
      <c r="C115" t="inlineStr">
        <is>
          <t>Askåterföring</t>
        </is>
      </c>
      <c r="D115" s="1" t="n">
        <v>45106</v>
      </c>
      <c r="E115" s="1" t="n">
        <v>46326</v>
      </c>
      <c r="F115" t="inlineStr">
        <is>
          <t>SKÅNE LÄN</t>
        </is>
      </c>
      <c r="G115" t="inlineStr">
        <is>
          <t>BROMÖLLA</t>
        </is>
      </c>
      <c r="I115" t="n">
        <v>31.6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S 5531-2022</t>
        </is>
      </c>
      <c r="B116" t="inlineStr">
        <is>
          <t>samrådsanmälan</t>
        </is>
      </c>
      <c r="C116" t="inlineStr">
        <is>
          <t>Askåterföring</t>
        </is>
      </c>
      <c r="D116" s="1" t="n">
        <v>44837</v>
      </c>
      <c r="E116" s="1" t="n">
        <v>46326</v>
      </c>
      <c r="F116" t="inlineStr">
        <is>
          <t>SKÅNE LÄN</t>
        </is>
      </c>
      <c r="G116" t="inlineStr">
        <is>
          <t>BROMÖLLA</t>
        </is>
      </c>
      <c r="I116" t="n">
        <v>5.3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S 2350-2023</t>
        </is>
      </c>
      <c r="B117" t="inlineStr">
        <is>
          <t>samrådsanmälan</t>
        </is>
      </c>
      <c r="C117" t="inlineStr">
        <is>
          <t>Askåterföring</t>
        </is>
      </c>
      <c r="D117" s="1" t="n">
        <v>45106</v>
      </c>
      <c r="E117" s="1" t="n">
        <v>46326</v>
      </c>
      <c r="F117" t="inlineStr">
        <is>
          <t>SKÅNE LÄN</t>
        </is>
      </c>
      <c r="G117" t="inlineStr">
        <is>
          <t>BROMÖLLA</t>
        </is>
      </c>
      <c r="I117" t="n">
        <v>22.7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S 3886-2023</t>
        </is>
      </c>
      <c r="B118" t="inlineStr">
        <is>
          <t>samrådsanmälan</t>
        </is>
      </c>
      <c r="C118" t="inlineStr">
        <is>
          <t>Askåterföring</t>
        </is>
      </c>
      <c r="D118" s="1" t="n">
        <v>45230</v>
      </c>
      <c r="E118" s="1" t="n">
        <v>46326</v>
      </c>
      <c r="F118" t="inlineStr">
        <is>
          <t>SKÅNE LÄN</t>
        </is>
      </c>
      <c r="G118" t="inlineStr">
        <is>
          <t>BROMÖLLA</t>
        </is>
      </c>
      <c r="I118" t="n">
        <v>4.9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S 1330-2025</t>
        </is>
      </c>
      <c r="B119" t="inlineStr">
        <is>
          <t>samrådsanmälan</t>
        </is>
      </c>
      <c r="C119" t="inlineStr">
        <is>
          <t>Askåterföring</t>
        </is>
      </c>
      <c r="D119" s="1" t="n">
        <v>45770</v>
      </c>
      <c r="E119" s="1" t="n">
        <v>46326</v>
      </c>
      <c r="F119" t="inlineStr">
        <is>
          <t>SKÅNE LÄN</t>
        </is>
      </c>
      <c r="G119" t="inlineStr">
        <is>
          <t>BROMÖLLA</t>
        </is>
      </c>
      <c r="I119" t="n">
        <v>12.7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S 1065-2026</t>
        </is>
      </c>
      <c r="B120" t="inlineStr">
        <is>
          <t>samrådsanmälan</t>
        </is>
      </c>
      <c r="C120" t="inlineStr">
        <is>
          <t>Askåterföring</t>
        </is>
      </c>
      <c r="D120" s="1" t="n">
        <v>46127</v>
      </c>
      <c r="E120" s="1" t="n">
        <v>46326</v>
      </c>
      <c r="F120" t="inlineStr">
        <is>
          <t>SKÅNE LÄN</t>
        </is>
      </c>
      <c r="G120" t="inlineStr">
        <is>
          <t>BROMÖLLA</t>
        </is>
      </c>
      <c r="I120" t="n">
        <v>4.2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S 1381-2026</t>
        </is>
      </c>
      <c r="B121" t="inlineStr">
        <is>
          <t>samrådsanmälan</t>
        </is>
      </c>
      <c r="C121" t="inlineStr">
        <is>
          <t>Askåterföring</t>
        </is>
      </c>
      <c r="D121" s="1" t="n">
        <v>46147</v>
      </c>
      <c r="E121" s="1" t="n">
        <v>46326</v>
      </c>
      <c r="F121" t="inlineStr">
        <is>
          <t>SKÅNE LÄN</t>
        </is>
      </c>
      <c r="G121" t="inlineStr">
        <is>
          <t>BROMÖLLA</t>
        </is>
      </c>
      <c r="I121" t="n">
        <v>5.8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S 1379-2026</t>
        </is>
      </c>
      <c r="B122" t="inlineStr">
        <is>
          <t>samrådsanmälan</t>
        </is>
      </c>
      <c r="C122" t="inlineStr">
        <is>
          <t>Askåterföring</t>
        </is>
      </c>
      <c r="D122" s="1" t="n">
        <v>46147</v>
      </c>
      <c r="E122" s="1" t="n">
        <v>46326</v>
      </c>
      <c r="F122" t="inlineStr">
        <is>
          <t>SKÅNE LÄN</t>
        </is>
      </c>
      <c r="G122" t="inlineStr">
        <is>
          <t>BROMÖLLA</t>
        </is>
      </c>
      <c r="I122" t="n">
        <v>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S 1315-2026</t>
        </is>
      </c>
      <c r="B123" t="inlineStr">
        <is>
          <t>samrådsanmälan</t>
        </is>
      </c>
      <c r="C123" t="inlineStr">
        <is>
          <t>Askåterföring</t>
        </is>
      </c>
      <c r="D123" s="1" t="n">
        <v>46149</v>
      </c>
      <c r="E123" s="1" t="n">
        <v>46326</v>
      </c>
      <c r="F123" t="inlineStr">
        <is>
          <t>SKÅNE LÄN</t>
        </is>
      </c>
      <c r="G123" t="inlineStr">
        <is>
          <t>BROMÖLLA</t>
        </is>
      </c>
      <c r="I123" t="n">
        <v>2.6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>
      <c r="A124" t="inlineStr">
        <is>
          <t>S 1377-2026</t>
        </is>
      </c>
      <c r="B124" t="inlineStr">
        <is>
          <t>samrådsanmälan</t>
        </is>
      </c>
      <c r="C124" t="inlineStr">
        <is>
          <t>Askåterföring</t>
        </is>
      </c>
      <c r="D124" s="1" t="n">
        <v>46147</v>
      </c>
      <c r="E124" s="1" t="n">
        <v>46326</v>
      </c>
      <c r="F124" t="inlineStr">
        <is>
          <t>SKÅNE LÄN</t>
        </is>
      </c>
      <c r="G124" t="inlineStr">
        <is>
          <t>BROMÖLLA</t>
        </is>
      </c>
      <c r="I124" t="n">
        <v>7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2026-10-31T03:26:43Z</dcterms:created>
  <dcterms:modified xmlns:dcterms="http://purl.org/dc/terms/" xmlns:xsi="http://www.w3.org/2001/XMLSchema-instance" xsi:type="dcterms:W3CDTF">2026-10-31T03:26:43Z</dcterms:modified>
</cp:coreProperties>
</file>