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46250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46250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17396-2024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45414</v>
      </c>
      <c r="E9" s="1" t="n">
        <v>46250</v>
      </c>
      <c r="F9" t="inlineStr">
        <is>
          <t>SKÅNE LÄN</t>
        </is>
      </c>
      <c r="G9" t="inlineStr">
        <is>
          <t>BROMÖLLA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Safsa</t>
        </is>
      </c>
      <c r="W9">
        <f>HYPERLINK("https://klasma.github.io/Logging_1272/artfynd/A 17396-2024 artfynd.xlsx", "A 17396-2024")</f>
        <v/>
      </c>
      <c r="X9">
        <f>HYPERLINK("https://klasma.github.io/Logging_1272/kartor/A 17396-2024 karta.png", "A 17396-2024")</f>
        <v/>
      </c>
      <c r="Y9">
        <f>HYPERLINK("https://klasma.github.io/Logging_1272/kartor_geotiff/A 17396-2024 georefererad karta.tif", "A 17396-2024")</f>
        <v/>
      </c>
      <c r="AA9">
        <f>HYPERLINK("https://klasma.github.io/Logging_1272/klagomål/A 17396-2024 FSC-klagomål.docx", "A 17396-2024")</f>
        <v/>
      </c>
      <c r="AB9">
        <f>HYPERLINK("https://klasma.github.io/Logging_1272/klagomålsmail/A 17396-2024 FSC-klagomål mail.docx", "A 17396-2024")</f>
        <v/>
      </c>
      <c r="AC9">
        <f>HYPERLINK("https://klasma.github.io/Logging_1272/tillsyn/A 17396-2024 tillsynsbegäran.docx", "A 17396-2024")</f>
        <v/>
      </c>
      <c r="AD9">
        <f>HYPERLINK("https://klasma.github.io/Logging_1272/tillsynsmail/A 17396-2024 tillsynsbegäran mail.docx", "A 17396-2024")</f>
        <v/>
      </c>
    </row>
    <row r="10" ht="15" customHeight="1">
      <c r="A10" t="inlineStr">
        <is>
          <t>A 52972-2023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46250</v>
      </c>
      <c r="F10" t="inlineStr">
        <is>
          <t>SKÅNE LÄN</t>
        </is>
      </c>
      <c r="G10" t="inlineStr">
        <is>
          <t>BROMÖLLA</t>
        </is>
      </c>
      <c r="I10" t="n">
        <v>6.4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HYPERLINK("https://klasma.github.io/Logging_1272/artfynd/A 52972-2023 artfynd.xlsx", "A 52972-2023")</f>
        <v/>
      </c>
      <c r="X10">
        <f>HYPERLINK("https://klasma.github.io/Logging_1272/kartor/A 52972-2023 karta.png", "A 52972-2023")</f>
        <v/>
      </c>
      <c r="Y10">
        <f>HYPERLINK("https://klasma.github.io/Logging_1272/kartor_geotiff/A 52972-2023 georefererad karta.tif", "A 52972-2023")</f>
        <v/>
      </c>
      <c r="AA10">
        <f>HYPERLINK("https://klasma.github.io/Logging_1272/klagomål/A 52972-2023 FSC-klagomål.docx", "A 52972-2023")</f>
        <v/>
      </c>
      <c r="AB10">
        <f>HYPERLINK("https://klasma.github.io/Logging_1272/klagomålsmail/A 52972-2023 FSC-klagomål mail.docx", "A 52972-2023")</f>
        <v/>
      </c>
      <c r="AC10">
        <f>HYPERLINK("https://klasma.github.io/Logging_1272/tillsyn/A 52972-2023 tillsynsbegäran.docx", "A 52972-2023")</f>
        <v/>
      </c>
      <c r="AD10">
        <f>HYPERLINK("https://klasma.github.io/Logging_1272/tillsynsmail/A 52972-2023 tillsynsbegäran mail.docx", "A 52972-2023")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46250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46250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46250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46250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46250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HYPERLINK("https://klasma.github.io/Logging_1272/artfynd/A 8362-2026 artfynd.xlsx", "A 8362-2026")</f>
        <v/>
      </c>
      <c r="X15">
        <f>HYPERLINK("https://klasma.github.io/Logging_1272/kartor/A 8362-2026 karta.png", "A 8362-2026")</f>
        <v/>
      </c>
      <c r="Y15">
        <f>HYPERLINK("https://klasma.github.io/Logging_1272/kartor_geotiff/A 8362-2026 georefererad karta.tif", "A 8362-2026")</f>
        <v/>
      </c>
      <c r="AA15">
        <f>HYPERLINK("https://klasma.github.io/Logging_1272/klagomål/A 8362-2026 FSC-klagomål.docx", "A 8362-2026")</f>
        <v/>
      </c>
      <c r="AB15">
        <f>HYPERLINK("https://klasma.github.io/Logging_1272/klagomålsmail/A 8362-2026 FSC-klagomål mail.docx", "A 8362-2026")</f>
        <v/>
      </c>
      <c r="AC15">
        <f>HYPERLINK("https://klasma.github.io/Logging_1272/tillsyn/A 8362-2026 tillsynsbegäran.docx", "A 8362-2026")</f>
        <v/>
      </c>
      <c r="AD15">
        <f>HYPERLINK("https://klasma.github.io/Logging_1272/tillsynsmail/A 8362-2026 tillsynsbegäran mail.docx", "A 8362-2026")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46250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46250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46250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46250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46250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46250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46250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46250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46250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46250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46250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46250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46250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46250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46250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46250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46250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46250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46250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45306</v>
      </c>
      <c r="E35" s="1" t="n">
        <v>46250</v>
      </c>
      <c r="F35" t="inlineStr">
        <is>
          <t>SKÅNE LÄN</t>
        </is>
      </c>
      <c r="G35" t="inlineStr">
        <is>
          <t>BROMÖLLA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46250</v>
      </c>
      <c r="F36" t="inlineStr">
        <is>
          <t>SKÅNE LÄN</t>
        </is>
      </c>
      <c r="G36" t="inlineStr">
        <is>
          <t>BROMÖLLA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36421-2022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44804</v>
      </c>
      <c r="E37" s="1" t="n">
        <v>46250</v>
      </c>
      <c r="F37" t="inlineStr">
        <is>
          <t>SKÅNE LÄN</t>
        </is>
      </c>
      <c r="G37" t="inlineStr">
        <is>
          <t>BROMÖLLA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46250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43647-2021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44433</v>
      </c>
      <c r="E39" s="1" t="n">
        <v>46250</v>
      </c>
      <c r="F39" t="inlineStr">
        <is>
          <t>SKÅNE LÄN</t>
        </is>
      </c>
      <c r="G39" t="inlineStr">
        <is>
          <t>BROMÖLLA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46250</v>
      </c>
      <c r="F40" t="inlineStr">
        <is>
          <t>SKÅNE LÄN</t>
        </is>
      </c>
      <c r="G40" t="inlineStr">
        <is>
          <t>BROMÖLLA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46250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31404-2025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46250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34216-2023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45126</v>
      </c>
      <c r="E43" s="1" t="n">
        <v>46250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46250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45728</v>
      </c>
      <c r="E45" s="1" t="n">
        <v>46250</v>
      </c>
      <c r="F45" t="inlineStr">
        <is>
          <t>SKÅNE LÄN</t>
        </is>
      </c>
      <c r="G45" t="inlineStr">
        <is>
          <t>BROMÖLLA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46250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46250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55762-2025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45972</v>
      </c>
      <c r="E48" s="1" t="n">
        <v>46250</v>
      </c>
      <c r="F48" t="inlineStr">
        <is>
          <t>SKÅNE LÄN</t>
        </is>
      </c>
      <c r="G48" t="inlineStr">
        <is>
          <t>BROMÖLLA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44993</v>
      </c>
      <c r="E49" s="1" t="n">
        <v>46250</v>
      </c>
      <c r="F49" t="inlineStr">
        <is>
          <t>SKÅNE LÄN</t>
        </is>
      </c>
      <c r="G49" t="inlineStr">
        <is>
          <t>BROMÖLLA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45299</v>
      </c>
      <c r="E50" s="1" t="n">
        <v>46250</v>
      </c>
      <c r="F50" t="inlineStr">
        <is>
          <t>SKÅNE LÄN</t>
        </is>
      </c>
      <c r="G50" t="inlineStr">
        <is>
          <t>BROMÖLLA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46250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46250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46250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45674</v>
      </c>
      <c r="E54" s="1" t="n">
        <v>46250</v>
      </c>
      <c r="F54" t="inlineStr">
        <is>
          <t>SKÅNE LÄN</t>
        </is>
      </c>
      <c r="G54" t="inlineStr">
        <is>
          <t>BROMÖLLA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46250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46250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46250</v>
      </c>
      <c r="F57" t="inlineStr">
        <is>
          <t>SKÅNE LÄN</t>
        </is>
      </c>
      <c r="G57" t="inlineStr">
        <is>
          <t>BROMÖLLA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46250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46250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46250</v>
      </c>
      <c r="F60" t="inlineStr">
        <is>
          <t>SKÅNE LÄN</t>
        </is>
      </c>
      <c r="G60" t="inlineStr">
        <is>
          <t>BROMÖLLA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46250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46250</v>
      </c>
      <c r="F62" t="inlineStr">
        <is>
          <t>SKÅNE LÄN</t>
        </is>
      </c>
      <c r="G62" t="inlineStr">
        <is>
          <t>BROMÖLLA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46250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46250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46250</v>
      </c>
      <c r="F65" t="inlineStr">
        <is>
          <t>SKÅNE LÄN</t>
        </is>
      </c>
      <c r="G65" t="inlineStr">
        <is>
          <t>BROMÖLLA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46733-2023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45195</v>
      </c>
      <c r="E66" s="1" t="n">
        <v>46250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45243</v>
      </c>
      <c r="E67" s="1" t="n">
        <v>46250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59949-2021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46250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46250</v>
      </c>
      <c r="F69" t="inlineStr">
        <is>
          <t>SKÅNE LÄN</t>
        </is>
      </c>
      <c r="G69" t="inlineStr">
        <is>
          <t>BROMÖLLA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46250</v>
      </c>
      <c r="F70" t="inlineStr">
        <is>
          <t>SKÅNE LÄN</t>
        </is>
      </c>
      <c r="G70" t="inlineStr">
        <is>
          <t>BROMÖLLA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45127</v>
      </c>
      <c r="E71" s="1" t="n">
        <v>46250</v>
      </c>
      <c r="F71" t="inlineStr">
        <is>
          <t>SKÅNE LÄN</t>
        </is>
      </c>
      <c r="G71" t="inlineStr">
        <is>
          <t>BROMÖLLA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46250</v>
      </c>
      <c r="F72" t="inlineStr">
        <is>
          <t>SKÅNE LÄN</t>
        </is>
      </c>
      <c r="G72" t="inlineStr">
        <is>
          <t>BROMÖLLA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46250</v>
      </c>
      <c r="F73" t="inlineStr">
        <is>
          <t>SKÅNE LÄN</t>
        </is>
      </c>
      <c r="G73" t="inlineStr">
        <is>
          <t>BROMÖLLA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46250</v>
      </c>
      <c r="F74" t="inlineStr">
        <is>
          <t>SKÅNE LÄN</t>
        </is>
      </c>
      <c r="G74" t="inlineStr">
        <is>
          <t>BROMÖLLA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46064</v>
      </c>
      <c r="E75" s="1" t="n">
        <v>46250</v>
      </c>
      <c r="F75" t="inlineStr">
        <is>
          <t>SKÅNE LÄN</t>
        </is>
      </c>
      <c r="G75" t="inlineStr">
        <is>
          <t>BROMÖLLA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39455-2024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45551</v>
      </c>
      <c r="E76" s="1" t="n">
        <v>46250</v>
      </c>
      <c r="F76" t="inlineStr">
        <is>
          <t>SKÅNE LÄN</t>
        </is>
      </c>
      <c r="G76" t="inlineStr">
        <is>
          <t>BROMÖLLA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46071</v>
      </c>
      <c r="E77" s="1" t="n">
        <v>46250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46250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46250</v>
      </c>
      <c r="F79" t="inlineStr">
        <is>
          <t>SKÅNE LÄN</t>
        </is>
      </c>
      <c r="G79" t="inlineStr">
        <is>
          <t>BROMÖLLA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46250</v>
      </c>
      <c r="F80" t="inlineStr">
        <is>
          <t>SKÅNE LÄN</t>
        </is>
      </c>
      <c r="G80" t="inlineStr">
        <is>
          <t>BROMÖLLA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46250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46250</v>
      </c>
      <c r="F82" t="inlineStr">
        <is>
          <t>SKÅNE LÄN</t>
        </is>
      </c>
      <c r="G82" t="inlineStr">
        <is>
          <t>BROMÖLLA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46250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46250</v>
      </c>
      <c r="F84" t="inlineStr">
        <is>
          <t>SKÅNE LÄN</t>
        </is>
      </c>
      <c r="G84" t="inlineStr">
        <is>
          <t>BROMÖLLA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46250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46250</v>
      </c>
      <c r="F86" t="inlineStr">
        <is>
          <t>SKÅNE LÄN</t>
        </is>
      </c>
      <c r="G86" t="inlineStr">
        <is>
          <t>BROMÖLLA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46250</v>
      </c>
      <c r="F87" t="inlineStr">
        <is>
          <t>SKÅNE LÄN</t>
        </is>
      </c>
      <c r="G87" t="inlineStr">
        <is>
          <t>BROMÖLLA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45889</v>
      </c>
      <c r="E88" s="1" t="n">
        <v>46250</v>
      </c>
      <c r="F88" t="inlineStr">
        <is>
          <t>SKÅNE LÄN</t>
        </is>
      </c>
      <c r="G88" t="inlineStr">
        <is>
          <t>BROMÖLLA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45622</v>
      </c>
      <c r="E89" s="1" t="n">
        <v>46250</v>
      </c>
      <c r="F89" t="inlineStr">
        <is>
          <t>SKÅNE LÄN</t>
        </is>
      </c>
      <c r="G89" t="inlineStr">
        <is>
          <t>BROMÖLLA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46250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46250</v>
      </c>
      <c r="F91" t="inlineStr">
        <is>
          <t>SKÅNE LÄN</t>
        </is>
      </c>
      <c r="G91" t="inlineStr">
        <is>
          <t>BROMÖLLA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45491</v>
      </c>
      <c r="E92" s="1" t="n">
        <v>46250</v>
      </c>
      <c r="F92" t="inlineStr">
        <is>
          <t>SKÅNE LÄN</t>
        </is>
      </c>
      <c r="G92" t="inlineStr">
        <is>
          <t>BROMÖLLA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24528-2026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46250</v>
      </c>
      <c r="F93" t="inlineStr">
        <is>
          <t>SKÅNE LÄN</t>
        </is>
      </c>
      <c r="G93" t="inlineStr">
        <is>
          <t>BROMÖLLA</t>
        </is>
      </c>
      <c r="I93" t="n">
        <v>13.5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44824</v>
      </c>
      <c r="E94" s="1" t="n">
        <v>46250</v>
      </c>
      <c r="F94" t="inlineStr">
        <is>
          <t>SKÅNE LÄN</t>
        </is>
      </c>
      <c r="G94" t="inlineStr">
        <is>
          <t>BROMÖLLA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46250</v>
      </c>
      <c r="F95" t="inlineStr">
        <is>
          <t>SKÅNE LÄN</t>
        </is>
      </c>
      <c r="G95" t="inlineStr">
        <is>
          <t>BROMÖLLA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46250</v>
      </c>
      <c r="F96" t="inlineStr">
        <is>
          <t>SKÅNE LÄN</t>
        </is>
      </c>
      <c r="G96" t="inlineStr">
        <is>
          <t>BROMÖLLA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46250</v>
      </c>
      <c r="F97" t="inlineStr">
        <is>
          <t>SKÅNE LÄN</t>
        </is>
      </c>
      <c r="G97" t="inlineStr">
        <is>
          <t>BROMÖLLA</t>
        </is>
      </c>
      <c r="I97" t="n">
        <v>15.6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46250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46250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46250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45233</v>
      </c>
      <c r="E101" s="1" t="n">
        <v>46250</v>
      </c>
      <c r="F101" t="inlineStr">
        <is>
          <t>SKÅNE LÄN</t>
        </is>
      </c>
      <c r="G101" t="inlineStr">
        <is>
          <t>BROMÖLLA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46250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46250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46250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46250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46250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46250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46250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46250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46250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46250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46250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46250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46250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46250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46250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46250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46250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46250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46250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46250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46250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46250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2026-08-16T01:44:09Z</dcterms:created>
  <dcterms:modified xmlns:dcterms="http://purl.org/dc/terms/" xmlns:xsi="http://www.w3.org/2001/XMLSchema-instance" xsi:type="dcterms:W3CDTF">2026-08-16T01:44:09Z</dcterms:modified>
</cp:coreProperties>
</file>