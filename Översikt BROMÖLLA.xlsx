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46302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46302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S 4458-2023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45271</v>
      </c>
      <c r="E9" s="1" t="n">
        <v>46302</v>
      </c>
      <c r="F9" t="inlineStr">
        <is>
          <t>SKÅNE LÄN</t>
        </is>
      </c>
      <c r="G9" t="inlineStr">
        <is>
          <t>BROMÖLLA</t>
        </is>
      </c>
      <c r="I9" t="n">
        <v>62.9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Lundbräsma
Lömsk flugsvamp</t>
        </is>
      </c>
      <c r="W9">
        <f>HYPERLINK("https://klasma.github.io/Logging_1272/artfynd/S 4458-2023 artfynd.xlsx", "S 4458-2023")</f>
        <v/>
      </c>
      <c r="X9">
        <f>HYPERLINK("https://klasma.github.io/Logging_1272/kartor/S 4458-2023 karta.png", "S 4458-2023")</f>
        <v/>
      </c>
      <c r="Y9">
        <f>HYPERLINK("https://klasma.github.io/Logging_1272/kartor_geotiff/S 4458-2023 georefererad karta.tif", "S 4458-2023")</f>
        <v/>
      </c>
      <c r="AA9">
        <f>HYPERLINK("https://klasma.github.io/Logging_1272/klagomål/S 4458-2023 FSC-klagomål.docx", "S 4458-2023")</f>
        <v/>
      </c>
      <c r="AB9">
        <f>HYPERLINK("https://klasma.github.io/Logging_1272/klagomålsmail/S 4458-2023 FSC-klagomål mail.docx", "S 4458-2023")</f>
        <v/>
      </c>
      <c r="AC9">
        <f>HYPERLINK("https://klasma.github.io/Logging_1272/tillsyn/S 4458-2023 tillsynsbegäran.docx", "S 4458-2023")</f>
        <v/>
      </c>
      <c r="AD9">
        <f>HYPERLINK("https://klasma.github.io/Logging_1272/tillsynsmail/S 4458-2023 tillsynsbegäran mail.docx", "S 4458-2023")</f>
        <v/>
      </c>
    </row>
    <row r="10" ht="15" customHeight="1">
      <c r="A10" t="inlineStr">
        <is>
          <t>S 168-2025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45677</v>
      </c>
      <c r="E10" s="1" t="n">
        <v>46302</v>
      </c>
      <c r="F10" t="inlineStr">
        <is>
          <t>SKÅNE LÄN</t>
        </is>
      </c>
      <c r="G10" t="inlineStr">
        <is>
          <t>BROMÖLLA</t>
        </is>
      </c>
      <c r="I10" t="n">
        <v>3.6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Mindre hackspett
Spillkråka</t>
        </is>
      </c>
      <c r="W10">
        <f>HYPERLINK("https://klasma.github.io/Logging_1272/artfynd/S 168-2025 artfynd.xlsx", "S 168-2025")</f>
        <v/>
      </c>
      <c r="X10">
        <f>HYPERLINK("https://klasma.github.io/Logging_1272/kartor/S 168-2025 karta.png", "S 168-2025")</f>
        <v/>
      </c>
      <c r="Y10">
        <f>HYPERLINK("https://klasma.github.io/Logging_1272/kartor_geotiff/S 168-2025 georefererad karta.tif", "S 168-2025")</f>
        <v/>
      </c>
      <c r="AA10">
        <f>HYPERLINK("https://klasma.github.io/Logging_1272/klagomål/S 168-2025 FSC-klagomål.docx", "S 168-2025")</f>
        <v/>
      </c>
      <c r="AB10">
        <f>HYPERLINK("https://klasma.github.io/Logging_1272/klagomålsmail/S 168-2025 FSC-klagomål mail.docx", "S 168-2025")</f>
        <v/>
      </c>
      <c r="AC10">
        <f>HYPERLINK("https://klasma.github.io/Logging_1272/tillsyn/S 168-2025 tillsynsbegäran.docx", "S 168-2025")</f>
        <v/>
      </c>
      <c r="AD10">
        <f>HYPERLINK("https://klasma.github.io/Logging_1272/tillsynsmail/S 168-2025 tillsynsbegäran mail.docx", "S 168-2025")</f>
        <v/>
      </c>
      <c r="AE10">
        <f>HYPERLINK("https://klasma.github.io/Logging_1272/fåglar/S 168-2025 prioriterade fågelarter.docx", "S 168-2025")</f>
        <v/>
      </c>
    </row>
    <row r="11" ht="15" customHeight="1">
      <c r="A11" t="inlineStr">
        <is>
          <t>S 1328-2025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45770</v>
      </c>
      <c r="E11" s="1" t="n">
        <v>46302</v>
      </c>
      <c r="F11" t="inlineStr">
        <is>
          <t>SKÅNE LÄN</t>
        </is>
      </c>
      <c r="G11" t="inlineStr">
        <is>
          <t>BROMÖLLA</t>
        </is>
      </c>
      <c r="I11" t="n">
        <v>27.2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Bivråk
Luddfingerört</t>
        </is>
      </c>
      <c r="W11">
        <f>HYPERLINK("https://klasma.github.io/Logging_1272/artfynd/S 1328-2025 artfynd.xlsx", "S 1328-2025")</f>
        <v/>
      </c>
      <c r="X11">
        <f>HYPERLINK("https://klasma.github.io/Logging_1272/kartor/S 1328-2025 karta.png", "S 1328-2025")</f>
        <v/>
      </c>
      <c r="Y11">
        <f>HYPERLINK("https://klasma.github.io/Logging_1272/kartor_geotiff/S 1328-2025 georefererad karta.tif", "S 1328-2025")</f>
        <v/>
      </c>
      <c r="AA11">
        <f>HYPERLINK("https://klasma.github.io/Logging_1272/klagomål/S 1328-2025 FSC-klagomål.docx", "S 1328-2025")</f>
        <v/>
      </c>
      <c r="AB11">
        <f>HYPERLINK("https://klasma.github.io/Logging_1272/klagomålsmail/S 1328-2025 FSC-klagomål mail.docx", "S 1328-2025")</f>
        <v/>
      </c>
      <c r="AC11">
        <f>HYPERLINK("https://klasma.github.io/Logging_1272/tillsyn/S 1328-2025 tillsynsbegäran.docx", "S 1328-2025")</f>
        <v/>
      </c>
      <c r="AD11">
        <f>HYPERLINK("https://klasma.github.io/Logging_1272/tillsynsmail/S 1328-2025 tillsynsbegäran mail.docx", "S 1328-2025")</f>
        <v/>
      </c>
      <c r="AE11">
        <f>HYPERLINK("https://klasma.github.io/Logging_1272/fåglar/S 1328-2025 prioriterade fågelarter.docx", "S 1328-2025")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46302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46302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50118-2022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44860</v>
      </c>
      <c r="E14" s="1" t="n">
        <v>46302</v>
      </c>
      <c r="F14" t="inlineStr">
        <is>
          <t>SKÅNE LÄN</t>
        </is>
      </c>
      <c r="G14" t="inlineStr">
        <is>
          <t>BROMÖLLA</t>
        </is>
      </c>
      <c r="I14" t="n">
        <v>12.8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Myskmadra</t>
        </is>
      </c>
      <c r="W14">
        <f>HYPERLINK("https://klasma.github.io/Logging_1272/artfynd/A 50118-2022 artfynd.xlsx", "A 50118-2022")</f>
        <v/>
      </c>
      <c r="X14">
        <f>HYPERLINK("https://klasma.github.io/Logging_1272/kartor/A 50118-2022 karta.png", "A 50118-2022")</f>
        <v/>
      </c>
      <c r="Y14">
        <f>HYPERLINK("https://klasma.github.io/Logging_1272/kartor_geotiff/A 50118-2022 georefererad karta.tif", "A 50118-2022")</f>
        <v/>
      </c>
      <c r="AA14">
        <f>HYPERLINK("https://klasma.github.io/Logging_1272/klagomål/A 50118-2022 FSC-klagomål.docx", "A 50118-2022")</f>
        <v/>
      </c>
      <c r="AB14">
        <f>HYPERLINK("https://klasma.github.io/Logging_1272/klagomålsmail/A 50118-2022 FSC-klagomål mail.docx", "A 50118-2022")</f>
        <v/>
      </c>
      <c r="AC14">
        <f>HYPERLINK("https://klasma.github.io/Logging_1272/tillsyn/A 50118-2022 tillsynsbegäran.docx", "A 50118-2022")</f>
        <v/>
      </c>
      <c r="AD14">
        <f>HYPERLINK("https://klasma.github.io/Logging_1272/tillsynsmail/A 50118-2022 tillsynsbegäran mail.docx", "A 50118-2022")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46302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17396-2024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45414</v>
      </c>
      <c r="E16" s="1" t="n">
        <v>46302</v>
      </c>
      <c r="F16" t="inlineStr">
        <is>
          <t>SKÅNE LÄN</t>
        </is>
      </c>
      <c r="G16" t="inlineStr">
        <is>
          <t>BROMÖLLA</t>
        </is>
      </c>
      <c r="I16" t="n">
        <v>1.8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Safsa</t>
        </is>
      </c>
      <c r="W16">
        <f>HYPERLINK("https://klasma.github.io/Logging_1272/artfynd/A 17396-2024 artfynd.xlsx", "A 17396-2024")</f>
        <v/>
      </c>
      <c r="X16">
        <f>HYPERLINK("https://klasma.github.io/Logging_1272/kartor/A 17396-2024 karta.png", "A 17396-2024")</f>
        <v/>
      </c>
      <c r="Y16">
        <f>HYPERLINK("https://klasma.github.io/Logging_1272/kartor_geotiff/A 17396-2024 georefererad karta.tif", "A 17396-2024")</f>
        <v/>
      </c>
      <c r="AA16">
        <f>HYPERLINK("https://klasma.github.io/Logging_1272/klagomål/A 17396-2024 FSC-klagomål.docx", "A 17396-2024")</f>
        <v/>
      </c>
      <c r="AB16">
        <f>HYPERLINK("https://klasma.github.io/Logging_1272/klagomålsmail/A 17396-2024 FSC-klagomål mail.docx", "A 17396-2024")</f>
        <v/>
      </c>
      <c r="AC16">
        <f>HYPERLINK("https://klasma.github.io/Logging_1272/tillsyn/A 17396-2024 tillsynsbegäran.docx", "A 17396-2024")</f>
        <v/>
      </c>
      <c r="AD16">
        <f>HYPERLINK("https://klasma.github.io/Logging_1272/tillsynsmail/A 17396-2024 tillsynsbegäran mail.docx", "A 17396-2024")</f>
        <v/>
      </c>
    </row>
    <row r="17" ht="15" customHeight="1">
      <c r="A17" t="inlineStr">
        <is>
          <t>A 20426-2023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45056</v>
      </c>
      <c r="E17" s="1" t="n">
        <v>46302</v>
      </c>
      <c r="F17" t="inlineStr">
        <is>
          <t>SKÅNE LÄN</t>
        </is>
      </c>
      <c r="G17" t="inlineStr">
        <is>
          <t>BROMÖLLA</t>
        </is>
      </c>
      <c r="I17" t="n">
        <v>5.2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Hålnunneört</t>
        </is>
      </c>
      <c r="W17">
        <f>HYPERLINK("https://klasma.github.io/Logging_1272/artfynd/A 20426-2023 artfynd.xlsx", "A 20426-2023")</f>
        <v/>
      </c>
      <c r="X17">
        <f>HYPERLINK("https://klasma.github.io/Logging_1272/kartor/A 20426-2023 karta.png", "A 20426-2023")</f>
        <v/>
      </c>
      <c r="Y17">
        <f>HYPERLINK("https://klasma.github.io/Logging_1272/kartor_geotiff/A 20426-2023 georefererad karta.tif", "A 20426-2023")</f>
        <v/>
      </c>
      <c r="AA17">
        <f>HYPERLINK("https://klasma.github.io/Logging_1272/klagomål/A 20426-2023 FSC-klagomål.docx", "A 20426-2023")</f>
        <v/>
      </c>
      <c r="AB17">
        <f>HYPERLINK("https://klasma.github.io/Logging_1272/klagomålsmail/A 20426-2023 FSC-klagomål mail.docx", "A 20426-2023")</f>
        <v/>
      </c>
      <c r="AC17">
        <f>HYPERLINK("https://klasma.github.io/Logging_1272/tillsyn/A 20426-2023 tillsynsbegäran.docx", "A 20426-2023")</f>
        <v/>
      </c>
      <c r="AD17">
        <f>HYPERLINK("https://klasma.github.io/Logging_1272/tillsynsmail/A 20426-2023 tillsynsbegäran mail.docx", "A 20426-2023")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46302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46302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46302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46302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46302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46302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46302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46302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46302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46302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46302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46302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46302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46302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46302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46302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46302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46302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46302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46302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46302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45300</v>
      </c>
      <c r="E46" s="1" t="n">
        <v>46302</v>
      </c>
      <c r="F46" t="inlineStr">
        <is>
          <t>SKÅNE LÄN</t>
        </is>
      </c>
      <c r="G46" t="inlineStr">
        <is>
          <t>BROMÖLLA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46302</v>
      </c>
      <c r="F47" t="inlineStr">
        <is>
          <t>SKÅNE LÄN</t>
        </is>
      </c>
      <c r="G47" t="inlineStr">
        <is>
          <t>BROMÖLLA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46302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46302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46302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46302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46302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46302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46302</v>
      </c>
      <c r="F54" t="inlineStr">
        <is>
          <t>SKÅNE LÄN</t>
        </is>
      </c>
      <c r="G54" t="inlineStr">
        <is>
          <t>BROMÖLLA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46302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45629</v>
      </c>
      <c r="E56" s="1" t="n">
        <v>46302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46302</v>
      </c>
      <c r="F57" t="inlineStr">
        <is>
          <t>SKÅNE LÄN</t>
        </is>
      </c>
      <c r="G57" t="inlineStr">
        <is>
          <t>BROMÖLLA</t>
        </is>
      </c>
      <c r="I57" t="n">
        <v>12.7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46302</v>
      </c>
      <c r="F58" t="inlineStr">
        <is>
          <t>SKÅNE LÄN</t>
        </is>
      </c>
      <c r="G58" t="inlineStr">
        <is>
          <t>BROMÖLLA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32272-2024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45512</v>
      </c>
      <c r="E59" s="1" t="n">
        <v>46302</v>
      </c>
      <c r="F59" t="inlineStr">
        <is>
          <t>SKÅNE LÄN</t>
        </is>
      </c>
      <c r="G59" t="inlineStr">
        <is>
          <t>BROMÖLLA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34216-2023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46302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46302</v>
      </c>
      <c r="F61" t="inlineStr">
        <is>
          <t>SKÅNE LÄN</t>
        </is>
      </c>
      <c r="G61" t="inlineStr">
        <is>
          <t>BROMÖLLA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46302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46302</v>
      </c>
      <c r="F63" t="inlineStr">
        <is>
          <t>SKÅNE LÄN</t>
        </is>
      </c>
      <c r="G63" t="inlineStr">
        <is>
          <t>BROMÖLLA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46302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46302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46302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20136-2026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46302</v>
      </c>
      <c r="F67" t="inlineStr">
        <is>
          <t>SKÅNE LÄN</t>
        </is>
      </c>
      <c r="G67" t="inlineStr">
        <is>
          <t>BROMÖLLA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46302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45033</v>
      </c>
      <c r="E69" s="1" t="n">
        <v>46302</v>
      </c>
      <c r="F69" t="inlineStr">
        <is>
          <t>SKÅNE LÄN</t>
        </is>
      </c>
      <c r="G69" t="inlineStr">
        <is>
          <t>BROMÖLLA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46302</v>
      </c>
      <c r="F70" t="inlineStr">
        <is>
          <t>SKÅNE LÄN</t>
        </is>
      </c>
      <c r="G70" t="inlineStr">
        <is>
          <t>BROMÖLLA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46302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46302</v>
      </c>
      <c r="F72" t="inlineStr">
        <is>
          <t>SKÅNE LÄN</t>
        </is>
      </c>
      <c r="G72" t="inlineStr">
        <is>
          <t>BROMÖLLA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46183</v>
      </c>
      <c r="E73" s="1" t="n">
        <v>46302</v>
      </c>
      <c r="F73" t="inlineStr">
        <is>
          <t>SKÅNE LÄN</t>
        </is>
      </c>
      <c r="G73" t="inlineStr">
        <is>
          <t>BROMÖLLA</t>
        </is>
      </c>
      <c r="I73" t="n">
        <v>15.6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28870-2023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46302</v>
      </c>
      <c r="F74" t="inlineStr">
        <is>
          <t>SKÅNE LÄN</t>
        </is>
      </c>
      <c r="G74" t="inlineStr">
        <is>
          <t>BROMÖLLA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45384</v>
      </c>
      <c r="E75" s="1" t="n">
        <v>46302</v>
      </c>
      <c r="F75" t="inlineStr">
        <is>
          <t>SKÅNE LÄN</t>
        </is>
      </c>
      <c r="G75" t="inlineStr">
        <is>
          <t>BROMÖLLA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46302</v>
      </c>
      <c r="F76" t="inlineStr">
        <is>
          <t>SKÅNE LÄN</t>
        </is>
      </c>
      <c r="G76" t="inlineStr">
        <is>
          <t>BROMÖLLA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46302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45300</v>
      </c>
      <c r="E78" s="1" t="n">
        <v>46302</v>
      </c>
      <c r="F78" t="inlineStr">
        <is>
          <t>SKÅNE LÄN</t>
        </is>
      </c>
      <c r="G78" t="inlineStr">
        <is>
          <t>BROMÖLLA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44911</v>
      </c>
      <c r="E79" s="1" t="n">
        <v>46302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46230</v>
      </c>
      <c r="E80" s="1" t="n">
        <v>46302</v>
      </c>
      <c r="F80" t="inlineStr">
        <is>
          <t>SKÅNE LÄN</t>
        </is>
      </c>
      <c r="G80" t="inlineStr">
        <is>
          <t>BROMÖLLA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46302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46230</v>
      </c>
      <c r="E82" s="1" t="n">
        <v>46302</v>
      </c>
      <c r="F82" t="inlineStr">
        <is>
          <t>SKÅNE LÄN</t>
        </is>
      </c>
      <c r="G82" t="inlineStr">
        <is>
          <t>BROMÖLLA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46302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46302</v>
      </c>
      <c r="F84" t="inlineStr">
        <is>
          <t>SKÅNE LÄN</t>
        </is>
      </c>
      <c r="G84" t="inlineStr">
        <is>
          <t>BROMÖLLA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46302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46302</v>
      </c>
      <c r="F86" t="inlineStr">
        <is>
          <t>SKÅNE LÄN</t>
        </is>
      </c>
      <c r="G86" t="inlineStr">
        <is>
          <t>BROMÖLLA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46302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40177-2026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46290</v>
      </c>
      <c r="E88" s="1" t="n">
        <v>46302</v>
      </c>
      <c r="F88" t="inlineStr">
        <is>
          <t>SKÅNE LÄN</t>
        </is>
      </c>
      <c r="G88" t="inlineStr">
        <is>
          <t>BROMÖLLA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46302</v>
      </c>
      <c r="F89" t="inlineStr">
        <is>
          <t>SKÅNE LÄN</t>
        </is>
      </c>
      <c r="G89" t="inlineStr">
        <is>
          <t>BROMÖLLA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46290</v>
      </c>
      <c r="E90" s="1" t="n">
        <v>46302</v>
      </c>
      <c r="F90" t="inlineStr">
        <is>
          <t>SKÅNE LÄN</t>
        </is>
      </c>
      <c r="G90" t="inlineStr">
        <is>
          <t>BROMÖLLA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46302</v>
      </c>
      <c r="F91" t="inlineStr">
        <is>
          <t>SKÅNE LÄN</t>
        </is>
      </c>
      <c r="G91" t="inlineStr">
        <is>
          <t>BROMÖLLA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46302</v>
      </c>
      <c r="F92" t="inlineStr">
        <is>
          <t>SKÅNE LÄN</t>
        </is>
      </c>
      <c r="G92" t="inlineStr">
        <is>
          <t>BROMÖLLA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46300</v>
      </c>
      <c r="E93" s="1" t="n">
        <v>46302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46302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46302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46302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46302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46302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46302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46302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46302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46302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46302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46302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46302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2026-10-07T02:05:00Z</dcterms:created>
  <dcterms:modified xmlns:dcterms="http://purl.org/dc/terms/" xmlns:xsi="http://www.w3.org/2001/XMLSchema-instance" xsi:type="dcterms:W3CDTF">2026-10-07T02:05:00Z</dcterms:modified>
</cp:coreProperties>
</file>