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Myskmadra</t>
        </is>
      </c>
      <c r="V9">
        <f>HYPERLINK("https://klasma.github.io/Logging_1272/artfynd/A 50118-2022 artfynd.xlsx", "A 50118-2022")</f>
        <v/>
      </c>
      <c r="W9">
        <f>HYPERLINK("https://klasma.github.io/Logging_1272/kartor/A 50118-2022 karta.png", "A 50118-2022")</f>
        <v/>
      </c>
      <c r="Y9">
        <f>HYPERLINK("https://klasma.github.io/Logging_1272/klagomål/A 50118-2022 FSC-klagomål.docx", "A 50118-2022")</f>
        <v/>
      </c>
      <c r="Z9">
        <f>HYPERLINK("https://klasma.github.io/Logging_1272/klagomålsmail/A 50118-2022 FSC-klagomål mail.docx", "A 50118-2022")</f>
        <v/>
      </c>
      <c r="AA9">
        <f>HYPERLINK("https://klasma.github.io/Logging_1272/tillsyn/A 50118-2022 tillsynsbegäran.docx", "A 50118-2022")</f>
        <v/>
      </c>
      <c r="AB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46221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Safsa</t>
        </is>
      </c>
      <c r="V10">
        <f>HYPERLINK("https://klasma.github.io/Logging_1272/artfynd/A 17396-2024 artfynd.xlsx", "A 17396-2024")</f>
        <v/>
      </c>
      <c r="W10">
        <f>HYPERLINK("https://klasma.github.io/Logging_1272/kartor/A 17396-2024 karta.png", "A 17396-2024")</f>
        <v/>
      </c>
      <c r="Y10">
        <f>HYPERLINK("https://klasma.github.io/Logging_1272/klagomål/A 17396-2024 FSC-klagomål.docx", "A 17396-2024")</f>
        <v/>
      </c>
      <c r="Z10">
        <f>HYPERLINK("https://klasma.github.io/Logging_1272/klagomålsmail/A 17396-2024 FSC-klagomål mail.docx", "A 17396-2024")</f>
        <v/>
      </c>
      <c r="AA10">
        <f>HYPERLINK("https://klasma.github.io/Logging_1272/tillsyn/A 17396-2024 tillsynsbegäran.docx", "A 17396-2024")</f>
        <v/>
      </c>
      <c r="AB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46221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HYPERLINK("https://klasma.github.io/Logging_1272/artfynd/A 52972-2023 artfynd.xlsx", "A 52972-2023")</f>
        <v/>
      </c>
      <c r="W11">
        <f>HYPERLINK("https://klasma.github.io/Logging_1272/kartor/A 52972-2023 karta.png", "A 52972-2023")</f>
        <v/>
      </c>
      <c r="Y11">
        <f>HYPERLINK("https://klasma.github.io/Logging_1272/klagomål/A 52972-2023 FSC-klagomål.docx", "A 52972-2023")</f>
        <v/>
      </c>
      <c r="Z11">
        <f>HYPERLINK("https://klasma.github.io/Logging_1272/klagomålsmail/A 52972-2023 FSC-klagomål mail.docx", "A 52972-2023")</f>
        <v/>
      </c>
      <c r="AA11">
        <f>HYPERLINK("https://klasma.github.io/Logging_1272/tillsyn/A 52972-2023 tillsynsbegäran.docx", "A 52972-2023")</f>
        <v/>
      </c>
      <c r="AB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46221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Rödlånke</t>
        </is>
      </c>
      <c r="V12">
        <f>HYPERLINK("https://klasma.github.io/Logging_1272/artfynd/A 8362-2026 artfynd.xlsx", "A 8362-2026")</f>
        <v/>
      </c>
      <c r="W12">
        <f>HYPERLINK("https://klasma.github.io/Logging_1272/kartor/A 8362-2026 karta.png", "A 8362-2026")</f>
        <v/>
      </c>
      <c r="Y12">
        <f>HYPERLINK("https://klasma.github.io/Logging_1272/klagomål/A 8362-2026 FSC-klagomål.docx", "A 8362-2026")</f>
        <v/>
      </c>
      <c r="Z12">
        <f>HYPERLINK("https://klasma.github.io/Logging_1272/klagomålsmail/A 8362-2026 FSC-klagomål mail.docx", "A 8362-2026")</f>
        <v/>
      </c>
      <c r="AA12">
        <f>HYPERLINK("https://klasma.github.io/Logging_1272/tillsyn/A 8362-2026 tillsynsbegäran.docx", "A 8362-2026")</f>
        <v/>
      </c>
      <c r="AB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46221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Sminkrot</t>
        </is>
      </c>
      <c r="V13">
        <f>HYPERLINK("https://klasma.github.io/Logging_1272/artfynd/A 17522-2026 artfynd.xlsx", "A 17522-2026")</f>
        <v/>
      </c>
      <c r="W13">
        <f>HYPERLINK("https://klasma.github.io/Logging_1272/kartor/A 17522-2026 karta.png", "A 17522-2026")</f>
        <v/>
      </c>
      <c r="Y13">
        <f>HYPERLINK("https://klasma.github.io/Logging_1272/klagomål/A 17522-2026 FSC-klagomål.docx", "A 17522-2026")</f>
        <v/>
      </c>
      <c r="Z13">
        <f>HYPERLINK("https://klasma.github.io/Logging_1272/klagomålsmail/A 17522-2026 FSC-klagomål mail.docx", "A 17522-2026")</f>
        <v/>
      </c>
      <c r="AA13">
        <f>HYPERLINK("https://klasma.github.io/Logging_1272/tillsyn/A 17522-2026 tillsynsbegäran.docx", "A 17522-2026")</f>
        <v/>
      </c>
      <c r="AB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46221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Skogsbräsma</t>
        </is>
      </c>
      <c r="V14">
        <f>HYPERLINK("https://klasma.github.io/Logging_1272/artfynd/A 35397-2025 artfynd.xlsx", "A 35397-2025")</f>
        <v/>
      </c>
      <c r="W14">
        <f>HYPERLINK("https://klasma.github.io/Logging_1272/kartor/A 35397-2025 karta.png", "A 35397-2025")</f>
        <v/>
      </c>
      <c r="Y14">
        <f>HYPERLINK("https://klasma.github.io/Logging_1272/klagomål/A 35397-2025 FSC-klagomål.docx", "A 35397-2025")</f>
        <v/>
      </c>
      <c r="Z14">
        <f>HYPERLINK("https://klasma.github.io/Logging_1272/klagomålsmail/A 35397-2025 FSC-klagomål mail.docx", "A 35397-2025")</f>
        <v/>
      </c>
      <c r="AA14">
        <f>HYPERLINK("https://klasma.github.io/Logging_1272/tillsyn/A 35397-2025 tillsynsbegäran.docx", "A 35397-2025")</f>
        <v/>
      </c>
      <c r="AB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46221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Hålnunneört</t>
        </is>
      </c>
      <c r="V15">
        <f>HYPERLINK("https://klasma.github.io/Logging_1272/artfynd/A 20426-2023 artfynd.xlsx", "A 20426-2023")</f>
        <v/>
      </c>
      <c r="W15">
        <f>HYPERLINK("https://klasma.github.io/Logging_1272/kartor/A 20426-2023 karta.png", "A 20426-2023")</f>
        <v/>
      </c>
      <c r="Y15">
        <f>HYPERLINK("https://klasma.github.io/Logging_1272/klagomål/A 20426-2023 FSC-klagomål.docx", "A 20426-2023")</f>
        <v/>
      </c>
      <c r="Z15">
        <f>HYPERLINK("https://klasma.github.io/Logging_1272/klagomålsmail/A 20426-2023 FSC-klagomål mail.docx", "A 20426-2023")</f>
        <v/>
      </c>
      <c r="AA15">
        <f>HYPERLINK("https://klasma.github.io/Logging_1272/tillsyn/A 20426-2023 tillsynsbegäran.docx", "A 20426-2023")</f>
        <v/>
      </c>
      <c r="AB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46221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Järnsparv</t>
        </is>
      </c>
      <c r="V16">
        <f>HYPERLINK("https://klasma.github.io/Logging_1272/artfynd/A 24688-2025 artfynd.xlsx", "A 24688-2025")</f>
        <v/>
      </c>
      <c r="W16">
        <f>HYPERLINK("https://klasma.github.io/Logging_1272/kartor/A 24688-2025 karta.png", "A 24688-2025")</f>
        <v/>
      </c>
      <c r="Y16">
        <f>HYPERLINK("https://klasma.github.io/Logging_1272/klagomål/A 24688-2025 FSC-klagomål.docx", "A 24688-2025")</f>
        <v/>
      </c>
      <c r="Z16">
        <f>HYPERLINK("https://klasma.github.io/Logging_1272/klagomålsmail/A 24688-2025 FSC-klagomål mail.docx", "A 24688-2025")</f>
        <v/>
      </c>
      <c r="AA16">
        <f>HYPERLINK("https://klasma.github.io/Logging_1272/tillsyn/A 24688-2025 tillsynsbegäran.docx", "A 24688-2025")</f>
        <v/>
      </c>
      <c r="AB16">
        <f>HYPERLINK("https://klasma.github.io/Logging_1272/tillsynsmail/A 24688-2025 tillsynsbegäran mail.docx", "A 24688-2025")</f>
        <v/>
      </c>
      <c r="AC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46221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46221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46221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46221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46221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46221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46221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46221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46221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46221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46221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46221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10275-2024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46221</v>
      </c>
      <c r="F38" t="inlineStr">
        <is>
          <t>SKÅNE LÄN</t>
        </is>
      </c>
      <c r="G38" t="inlineStr">
        <is>
          <t>BROMÖLLA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46221</v>
      </c>
      <c r="F39" t="inlineStr">
        <is>
          <t>SKÅNE LÄN</t>
        </is>
      </c>
      <c r="G39" t="inlineStr">
        <is>
          <t>BROMÖLLA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46221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46221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34216-2023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45126</v>
      </c>
      <c r="E42" s="1" t="n">
        <v>46221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42912-2024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46221</v>
      </c>
      <c r="F43" t="inlineStr">
        <is>
          <t>SKÅNE LÄN</t>
        </is>
      </c>
      <c r="G43" t="inlineStr">
        <is>
          <t>BROMÖLLA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46221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46221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45299</v>
      </c>
      <c r="E46" s="1" t="n">
        <v>46221</v>
      </c>
      <c r="F46" t="inlineStr">
        <is>
          <t>SKÅNE LÄN</t>
        </is>
      </c>
      <c r="G46" t="inlineStr">
        <is>
          <t>BROMÖLLA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46221</v>
      </c>
      <c r="F47" t="inlineStr">
        <is>
          <t>SKÅNE LÄN</t>
        </is>
      </c>
      <c r="G47" t="inlineStr">
        <is>
          <t>BROMÖLLA</t>
        </is>
      </c>
      <c r="I47" t="n">
        <v>12.7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46221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46221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46221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2448-2025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46221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46221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46221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46221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46221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46221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46221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46221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46221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46221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46221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46221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30075-2023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46221</v>
      </c>
      <c r="F63" t="inlineStr">
        <is>
          <t>SKÅNE LÄN</t>
        </is>
      </c>
      <c r="G63" t="inlineStr">
        <is>
          <t>BROMÖLLA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31404-2025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46221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46221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46221</v>
      </c>
      <c r="F66" t="inlineStr">
        <is>
          <t>SKÅNE LÄN</t>
        </is>
      </c>
      <c r="G66" t="inlineStr">
        <is>
          <t>BROMÖLLA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46221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60055-2025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46221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60698-2025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46221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46221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45180</v>
      </c>
      <c r="E71" s="1" t="n">
        <v>46221</v>
      </c>
      <c r="F71" t="inlineStr">
        <is>
          <t>SKÅNE LÄN</t>
        </is>
      </c>
      <c r="G71" t="inlineStr">
        <is>
          <t>BROMÖLLA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46221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46221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46221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45866</v>
      </c>
      <c r="E75" s="1" t="n">
        <v>46221</v>
      </c>
      <c r="F75" t="inlineStr">
        <is>
          <t>SKÅNE LÄN</t>
        </is>
      </c>
      <c r="G75" t="inlineStr">
        <is>
          <t>BROMÖLLA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46221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46221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46221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46221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46221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35798-2023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45148</v>
      </c>
      <c r="E81" s="1" t="n">
        <v>46221</v>
      </c>
      <c r="F81" t="inlineStr">
        <is>
          <t>SKÅNE LÄN</t>
        </is>
      </c>
      <c r="G81" t="inlineStr">
        <is>
          <t>BROMÖLLA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45233</v>
      </c>
      <c r="E82" s="1" t="n">
        <v>46221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46221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46221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46221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46221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46221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46221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46221</v>
      </c>
      <c r="F89" t="inlineStr">
        <is>
          <t>SKÅNE LÄN</t>
        </is>
      </c>
      <c r="G89" t="inlineStr">
        <is>
          <t>BROMÖLLA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46221</v>
      </c>
      <c r="F90" t="inlineStr">
        <is>
          <t>SKÅNE LÄN</t>
        </is>
      </c>
      <c r="G90" t="inlineStr">
        <is>
          <t>BROMÖLLA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12721-2023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46221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46221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48974-2025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46221</v>
      </c>
      <c r="F93" t="inlineStr">
        <is>
          <t>SKÅNE LÄN</t>
        </is>
      </c>
      <c r="G93" t="inlineStr">
        <is>
          <t>BROMÖLLA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46221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46221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46221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46221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46221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46221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46221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46221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46221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46221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46221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46221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46221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46221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46221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46221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46221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46221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46221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46221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46221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46221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46221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46221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46221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46221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46221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46221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46221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