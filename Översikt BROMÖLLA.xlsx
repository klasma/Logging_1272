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38164-2026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46301</v>
      </c>
      <c r="F7" t="inlineStr">
        <is>
          <t>SKÅNE LÄN</t>
        </is>
      </c>
      <c r="G7" t="inlineStr">
        <is>
          <t>BROMÖLLA</t>
        </is>
      </c>
      <c r="I7" t="n">
        <v>6.9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Entita
Spillkråka</t>
        </is>
      </c>
      <c r="W7">
        <f>HYPERLINK("https://klasma.github.io/Logging_1272/artfynd/A 38164-2026 artfynd.xlsx", "A 38164-2026")</f>
        <v/>
      </c>
      <c r="X7">
        <f>HYPERLINK("https://klasma.github.io/Logging_1272/kartor/A 38164-2026 karta.png", "A 38164-2026")</f>
        <v/>
      </c>
      <c r="Y7">
        <f>HYPERLINK("https://klasma.github.io/Logging_1272/kartor_geotiff/A 38164-2026 georefererad karta.tif", "A 38164-2026")</f>
        <v/>
      </c>
      <c r="AA7">
        <f>HYPERLINK("https://klasma.github.io/Logging_1272/klagomål/A 38164-2026 FSC-klagomål.docx", "A 38164-2026")</f>
        <v/>
      </c>
      <c r="AB7">
        <f>HYPERLINK("https://klasma.github.io/Logging_1272/klagomålsmail/A 38164-2026 FSC-klagomål mail.docx", "A 38164-2026")</f>
        <v/>
      </c>
      <c r="AC7">
        <f>HYPERLINK("https://klasma.github.io/Logging_1272/tillsyn/A 38164-2026 tillsynsbegäran.docx", "A 38164-2026")</f>
        <v/>
      </c>
      <c r="AD7">
        <f>HYPERLINK("https://klasma.github.io/Logging_1272/tillsynsmail/A 38164-2026 tillsynsbegäran mail.docx", "A 38164-2026")</f>
        <v/>
      </c>
      <c r="AE7">
        <f>HYPERLINK("https://klasma.github.io/Logging_1272/fåglar/A 38164-2026 prioriterade fågelarter.docx", "A 38164-2026")</f>
        <v/>
      </c>
    </row>
    <row r="8" ht="15" customHeight="1">
      <c r="A8" t="inlineStr">
        <is>
          <t>S 4458-2023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45271</v>
      </c>
      <c r="E8" s="1" t="n">
        <v>46301</v>
      </c>
      <c r="F8" t="inlineStr">
        <is>
          <t>SKÅNE LÄN</t>
        </is>
      </c>
      <c r="G8" t="inlineStr">
        <is>
          <t>BROMÖLLA</t>
        </is>
      </c>
      <c r="I8" t="n">
        <v>62.9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Lundbräsma
Lömsk flugsvamp</t>
        </is>
      </c>
      <c r="W8">
        <f>HYPERLINK("https://klasma.github.io/Logging_1272/artfynd/S 4458-2023 artfynd.xlsx", "S 4458-2023")</f>
        <v/>
      </c>
      <c r="X8">
        <f>HYPERLINK("https://klasma.github.io/Logging_1272/kartor/S 4458-2023 karta.png", "S 4458-2023")</f>
        <v/>
      </c>
      <c r="Y8">
        <f>HYPERLINK("https://klasma.github.io/Logging_1272/kartor_geotiff/S 4458-2023 georefererad karta.tif", "S 4458-2023")</f>
        <v/>
      </c>
      <c r="AA8">
        <f>HYPERLINK("https://klasma.github.io/Logging_1272/klagomål/S 4458-2023 FSC-klagomål.docx", "S 4458-2023")</f>
        <v/>
      </c>
      <c r="AB8">
        <f>HYPERLINK("https://klasma.github.io/Logging_1272/klagomålsmail/S 4458-2023 FSC-klagomål mail.docx", "S 4458-2023")</f>
        <v/>
      </c>
      <c r="AC8">
        <f>HYPERLINK("https://klasma.github.io/Logging_1272/tillsyn/S 4458-2023 tillsynsbegäran.docx", "S 4458-2023")</f>
        <v/>
      </c>
      <c r="AD8">
        <f>HYPERLINK("https://klasma.github.io/Logging_1272/tillsynsmail/S 4458-2023 tillsynsbegäran mail.docx", "S 4458-2023")</f>
        <v/>
      </c>
    </row>
    <row r="9" ht="15" customHeight="1">
      <c r="A9" t="inlineStr">
        <is>
          <t>S 168-2025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45677</v>
      </c>
      <c r="E9" s="1" t="n">
        <v>46301</v>
      </c>
      <c r="F9" t="inlineStr">
        <is>
          <t>SKÅNE LÄN</t>
        </is>
      </c>
      <c r="G9" t="inlineStr">
        <is>
          <t>BROMÖLLA</t>
        </is>
      </c>
      <c r="I9" t="n">
        <v>3.6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Mindre hackspett
Spillkråka</t>
        </is>
      </c>
      <c r="W9">
        <f>HYPERLINK("https://klasma.github.io/Logging_1272/artfynd/S 168-2025 artfynd.xlsx", "S 168-2025")</f>
        <v/>
      </c>
      <c r="X9">
        <f>HYPERLINK("https://klasma.github.io/Logging_1272/kartor/S 168-2025 karta.png", "S 168-2025")</f>
        <v/>
      </c>
      <c r="Y9">
        <f>HYPERLINK("https://klasma.github.io/Logging_1272/kartor_geotiff/S 168-2025 georefererad karta.tif", "S 168-2025")</f>
        <v/>
      </c>
      <c r="AA9">
        <f>HYPERLINK("https://klasma.github.io/Logging_1272/klagomål/S 168-2025 FSC-klagomål.docx", "S 168-2025")</f>
        <v/>
      </c>
      <c r="AB9">
        <f>HYPERLINK("https://klasma.github.io/Logging_1272/klagomålsmail/S 168-2025 FSC-klagomål mail.docx", "S 168-2025")</f>
        <v/>
      </c>
      <c r="AC9">
        <f>HYPERLINK("https://klasma.github.io/Logging_1272/tillsyn/S 168-2025 tillsynsbegäran.docx", "S 168-2025")</f>
        <v/>
      </c>
      <c r="AD9">
        <f>HYPERLINK("https://klasma.github.io/Logging_1272/tillsynsmail/S 168-2025 tillsynsbegäran mail.docx", "S 168-2025")</f>
        <v/>
      </c>
      <c r="AE9">
        <f>HYPERLINK("https://klasma.github.io/Logging_1272/fåglar/S 168-2025 prioriterade fågelarter.docx", "S 168-2025")</f>
        <v/>
      </c>
    </row>
    <row r="10" ht="15" customHeight="1">
      <c r="A10" t="inlineStr">
        <is>
          <t>S 1328-2025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45770</v>
      </c>
      <c r="E10" s="1" t="n">
        <v>46301</v>
      </c>
      <c r="F10" t="inlineStr">
        <is>
          <t>SKÅNE LÄN</t>
        </is>
      </c>
      <c r="G10" t="inlineStr">
        <is>
          <t>BROMÖLLA</t>
        </is>
      </c>
      <c r="I10" t="n">
        <v>27.2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Bivråk
Luddfingerört</t>
        </is>
      </c>
      <c r="W10">
        <f>HYPERLINK("https://klasma.github.io/Logging_1272/artfynd/S 1328-2025 artfynd.xlsx", "S 1328-2025")</f>
        <v/>
      </c>
      <c r="X10">
        <f>HYPERLINK("https://klasma.github.io/Logging_1272/kartor/S 1328-2025 karta.png", "S 1328-2025")</f>
        <v/>
      </c>
      <c r="Y10">
        <f>HYPERLINK("https://klasma.github.io/Logging_1272/kartor_geotiff/S 1328-2025 georefererad karta.tif", "S 1328-2025")</f>
        <v/>
      </c>
      <c r="AA10">
        <f>HYPERLINK("https://klasma.github.io/Logging_1272/klagomål/S 1328-2025 FSC-klagomål.docx", "S 1328-2025")</f>
        <v/>
      </c>
      <c r="AB10">
        <f>HYPERLINK("https://klasma.github.io/Logging_1272/klagomålsmail/S 1328-2025 FSC-klagomål mail.docx", "S 1328-2025")</f>
        <v/>
      </c>
      <c r="AC10">
        <f>HYPERLINK("https://klasma.github.io/Logging_1272/tillsyn/S 1328-2025 tillsynsbegäran.docx", "S 1328-2025")</f>
        <v/>
      </c>
      <c r="AD10">
        <f>HYPERLINK("https://klasma.github.io/Logging_1272/tillsynsmail/S 1328-2025 tillsynsbegäran mail.docx", "S 1328-2025")</f>
        <v/>
      </c>
      <c r="AE10">
        <f>HYPERLINK("https://klasma.github.io/Logging_1272/fåglar/S 1328-2025 prioriterade fågelarter.docx", "S 1328-2025")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46301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46301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46301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46301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46301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46301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A 20426-2023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45056</v>
      </c>
      <c r="E17" s="1" t="n">
        <v>46301</v>
      </c>
      <c r="F17" t="inlineStr">
        <is>
          <t>SKÅNE LÄN</t>
        </is>
      </c>
      <c r="G17" t="inlineStr">
        <is>
          <t>BROMÖLLA</t>
        </is>
      </c>
      <c r="I17" t="n">
        <v>5.2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Hålnunneört</t>
        </is>
      </c>
      <c r="W17">
        <f>HYPERLINK("https://klasma.github.io/Logging_1272/artfynd/A 20426-2023 artfynd.xlsx", "A 20426-2023")</f>
        <v/>
      </c>
      <c r="X17">
        <f>HYPERLINK("https://klasma.github.io/Logging_1272/kartor/A 20426-2023 karta.png", "A 20426-2023")</f>
        <v/>
      </c>
      <c r="Y17">
        <f>HYPERLINK("https://klasma.github.io/Logging_1272/kartor_geotiff/A 20426-2023 georefererad karta.tif", "A 20426-2023")</f>
        <v/>
      </c>
      <c r="AA17">
        <f>HYPERLINK("https://klasma.github.io/Logging_1272/klagomål/A 20426-2023 FSC-klagomål.docx", "A 20426-2023")</f>
        <v/>
      </c>
      <c r="AB17">
        <f>HYPERLINK("https://klasma.github.io/Logging_1272/klagomålsmail/A 20426-2023 FSC-klagomål mail.docx", "A 20426-2023")</f>
        <v/>
      </c>
      <c r="AC17">
        <f>HYPERLINK("https://klasma.github.io/Logging_1272/tillsyn/A 20426-2023 tillsynsbegäran.docx", "A 20426-2023")</f>
        <v/>
      </c>
      <c r="AD17">
        <f>HYPERLINK("https://klasma.github.io/Logging_1272/tillsynsmail/A 20426-2023 tillsynsbegäran mail.docx", "A 20426-2023")</f>
        <v/>
      </c>
    </row>
    <row r="18" ht="15" customHeight="1">
      <c r="A18" t="inlineStr">
        <is>
          <t>A 24688-2025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46301</v>
      </c>
      <c r="F18" t="inlineStr">
        <is>
          <t>SKÅNE LÄN</t>
        </is>
      </c>
      <c r="G18" t="inlineStr">
        <is>
          <t>BROMÖLLA</t>
        </is>
      </c>
      <c r="I18" t="n">
        <v>1.6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Järnsparv</t>
        </is>
      </c>
      <c r="W18">
        <f>HYPERLINK("https://klasma.github.io/Logging_1272/artfynd/A 24688-2025 artfynd.xlsx", "A 24688-2025")</f>
        <v/>
      </c>
      <c r="X18">
        <f>HYPERLINK("https://klasma.github.io/Logging_1272/kartor/A 24688-2025 karta.png", "A 24688-2025")</f>
        <v/>
      </c>
      <c r="Y18">
        <f>HYPERLINK("https://klasma.github.io/Logging_1272/kartor_geotiff/A 24688-2025 georefererad karta.tif", "A 24688-2025")</f>
        <v/>
      </c>
      <c r="AA18">
        <f>HYPERLINK("https://klasma.github.io/Logging_1272/klagomål/A 24688-2025 FSC-klagomål.docx", "A 24688-2025")</f>
        <v/>
      </c>
      <c r="AB18">
        <f>HYPERLINK("https://klasma.github.io/Logging_1272/klagomålsmail/A 24688-2025 FSC-klagomål mail.docx", "A 24688-2025")</f>
        <v/>
      </c>
      <c r="AC18">
        <f>HYPERLINK("https://klasma.github.io/Logging_1272/tillsyn/A 24688-2025 tillsynsbegäran.docx", "A 24688-2025")</f>
        <v/>
      </c>
      <c r="AD18">
        <f>HYPERLINK("https://klasma.github.io/Logging_1272/tillsynsmail/A 24688-2025 tillsynsbegäran mail.docx", "A 24688-2025")</f>
        <v/>
      </c>
      <c r="AE18">
        <f>HYPERLINK("https://klasma.github.io/Logging_1272/fåglar/A 24688-2025 prioriterade fågelarter.docx", "A 24688-2025")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46301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46301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46301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46301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46301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46301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46301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46301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46301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46301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46301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46301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31649-2023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46301</v>
      </c>
      <c r="F36" t="inlineStr">
        <is>
          <t>SKÅNE LÄN</t>
        </is>
      </c>
      <c r="G36" t="inlineStr">
        <is>
          <t>BROMÖLLA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49831-2022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46301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45300</v>
      </c>
      <c r="E38" s="1" t="n">
        <v>46301</v>
      </c>
      <c r="F38" t="inlineStr">
        <is>
          <t>SKÅNE LÄN</t>
        </is>
      </c>
      <c r="G38" t="inlineStr">
        <is>
          <t>BROMÖLLA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34216-2023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46301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42912-2024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46301</v>
      </c>
      <c r="F40" t="inlineStr">
        <is>
          <t>SKÅNE LÄN</t>
        </is>
      </c>
      <c r="G40" t="inlineStr">
        <is>
          <t>BROMÖLLA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61701-2022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44911</v>
      </c>
      <c r="E41" s="1" t="n">
        <v>46301</v>
      </c>
      <c r="F41" t="inlineStr">
        <is>
          <t>SKÅNE LÄN</t>
        </is>
      </c>
      <c r="G41" t="inlineStr">
        <is>
          <t>BROMÖLLA</t>
        </is>
      </c>
      <c r="H41" t="inlineStr">
        <is>
          <t>Kyrkan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46301</v>
      </c>
      <c r="F42" t="inlineStr">
        <is>
          <t>SKÅNE LÄN</t>
        </is>
      </c>
      <c r="G42" t="inlineStr">
        <is>
          <t>BROMÖLLA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46301</v>
      </c>
      <c r="F43" t="inlineStr">
        <is>
          <t>SKÅNE LÄN</t>
        </is>
      </c>
      <c r="G43" t="inlineStr">
        <is>
          <t>BROMÖLLA</t>
        </is>
      </c>
      <c r="I43" t="n">
        <v>12.7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46301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45299</v>
      </c>
      <c r="E45" s="1" t="n">
        <v>46301</v>
      </c>
      <c r="F45" t="inlineStr">
        <is>
          <t>SKÅNE LÄN</t>
        </is>
      </c>
      <c r="G45" t="inlineStr">
        <is>
          <t>BROMÖLLA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46301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9508-2026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46301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46301</v>
      </c>
      <c r="F48" t="inlineStr">
        <is>
          <t>SKÅNE LÄN</t>
        </is>
      </c>
      <c r="G48" t="inlineStr">
        <is>
          <t>BROMÖLLA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46301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46301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46301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46301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45833</v>
      </c>
      <c r="E53" s="1" t="n">
        <v>46301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46301</v>
      </c>
      <c r="F54" t="inlineStr">
        <is>
          <t>SKÅNE LÄN</t>
        </is>
      </c>
      <c r="G54" t="inlineStr">
        <is>
          <t>BROMÖLLA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46301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46301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46301</v>
      </c>
      <c r="F57" t="inlineStr">
        <is>
          <t>SKÅNE LÄN</t>
        </is>
      </c>
      <c r="G57" t="inlineStr">
        <is>
          <t>BROMÖLLA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46733-2023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45195</v>
      </c>
      <c r="E58" s="1" t="n">
        <v>46301</v>
      </c>
      <c r="F58" t="inlineStr">
        <is>
          <t>SKÅNE LÄN</t>
        </is>
      </c>
      <c r="G58" t="inlineStr">
        <is>
          <t>BROMÖLLA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46301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46301</v>
      </c>
      <c r="F60" t="inlineStr">
        <is>
          <t>SKÅNE LÄN</t>
        </is>
      </c>
      <c r="G60" t="inlineStr">
        <is>
          <t>BROMÖLLA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46301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46301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46301</v>
      </c>
      <c r="F63" t="inlineStr">
        <is>
          <t>SKÅNE LÄN</t>
        </is>
      </c>
      <c r="G63" t="inlineStr">
        <is>
          <t>BROMÖLLA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45993</v>
      </c>
      <c r="E64" s="1" t="n">
        <v>46301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46301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46301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39455-2024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45551</v>
      </c>
      <c r="E67" s="1" t="n">
        <v>46301</v>
      </c>
      <c r="F67" t="inlineStr">
        <is>
          <t>SKÅNE LÄN</t>
        </is>
      </c>
      <c r="G67" t="inlineStr">
        <is>
          <t>BROMÖLLA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20136-2026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46136</v>
      </c>
      <c r="E68" s="1" t="n">
        <v>46301</v>
      </c>
      <c r="F68" t="inlineStr">
        <is>
          <t>SKÅNE LÄN</t>
        </is>
      </c>
      <c r="G68" t="inlineStr">
        <is>
          <t>BROMÖLLA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45947</v>
      </c>
      <c r="E69" s="1" t="n">
        <v>46301</v>
      </c>
      <c r="F69" t="inlineStr">
        <is>
          <t>SKÅNE LÄN</t>
        </is>
      </c>
      <c r="G69" t="inlineStr">
        <is>
          <t>BROMÖLLA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46301</v>
      </c>
      <c r="F70" t="inlineStr">
        <is>
          <t>SKÅNE LÄN</t>
        </is>
      </c>
      <c r="G70" t="inlineStr">
        <is>
          <t>BROMÖLLA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46301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46301</v>
      </c>
      <c r="F72" t="inlineStr">
        <is>
          <t>SKÅNE LÄN</t>
        </is>
      </c>
      <c r="G72" t="inlineStr">
        <is>
          <t>BROMÖLLA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44831</v>
      </c>
      <c r="E73" s="1" t="n">
        <v>46301</v>
      </c>
      <c r="F73" t="inlineStr">
        <is>
          <t>SKÅNE LÄN</t>
        </is>
      </c>
      <c r="G73" t="inlineStr">
        <is>
          <t>BROMÖLLA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45866</v>
      </c>
      <c r="E74" s="1" t="n">
        <v>46301</v>
      </c>
      <c r="F74" t="inlineStr">
        <is>
          <t>SKÅNE LÄN</t>
        </is>
      </c>
      <c r="G74" t="inlineStr">
        <is>
          <t>BROMÖLLA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46301</v>
      </c>
      <c r="F75" t="inlineStr">
        <is>
          <t>SKÅNE LÄN</t>
        </is>
      </c>
      <c r="G75" t="inlineStr">
        <is>
          <t>BROMÖLLA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46301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44824</v>
      </c>
      <c r="E77" s="1" t="n">
        <v>46301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46301</v>
      </c>
      <c r="F78" t="inlineStr">
        <is>
          <t>SKÅNE LÄN</t>
        </is>
      </c>
      <c r="G78" t="inlineStr">
        <is>
          <t>BROMÖLLA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45148</v>
      </c>
      <c r="E79" s="1" t="n">
        <v>46301</v>
      </c>
      <c r="F79" t="inlineStr">
        <is>
          <t>SKÅNE LÄN</t>
        </is>
      </c>
      <c r="G79" t="inlineStr">
        <is>
          <t>BROMÖLLA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46301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46301</v>
      </c>
      <c r="F81" t="inlineStr">
        <is>
          <t>SKÅNE LÄN</t>
        </is>
      </c>
      <c r="G81" t="inlineStr">
        <is>
          <t>BROMÖLLA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46301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46183</v>
      </c>
      <c r="E83" s="1" t="n">
        <v>46301</v>
      </c>
      <c r="F83" t="inlineStr">
        <is>
          <t>SKÅNE LÄN</t>
        </is>
      </c>
      <c r="G83" t="inlineStr">
        <is>
          <t>BROMÖLLA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46301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46301</v>
      </c>
      <c r="F85" t="inlineStr">
        <is>
          <t>SKÅNE LÄN</t>
        </is>
      </c>
      <c r="G85" t="inlineStr">
        <is>
          <t>BROMÖLLA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44804</v>
      </c>
      <c r="E86" s="1" t="n">
        <v>46301</v>
      </c>
      <c r="F86" t="inlineStr">
        <is>
          <t>SKÅNE LÄN</t>
        </is>
      </c>
      <c r="G86" t="inlineStr">
        <is>
          <t>BROMÖLLA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46301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46301</v>
      </c>
      <c r="F88" t="inlineStr">
        <is>
          <t>SKÅNE LÄN</t>
        </is>
      </c>
      <c r="G88" t="inlineStr">
        <is>
          <t>BROMÖLLA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12721-2023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45000</v>
      </c>
      <c r="E89" s="1" t="n">
        <v>46301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46301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46301</v>
      </c>
      <c r="F91" t="inlineStr">
        <is>
          <t>SKÅNE LÄN</t>
        </is>
      </c>
      <c r="G91" t="inlineStr">
        <is>
          <t>BROMÖLLA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46301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46301</v>
      </c>
      <c r="F93" t="inlineStr">
        <is>
          <t>SKÅNE LÄN</t>
        </is>
      </c>
      <c r="G93" t="inlineStr">
        <is>
          <t>BROMÖLLA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46301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46301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46301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46301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46301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46301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46301</v>
      </c>
      <c r="F100" t="inlineStr">
        <is>
          <t>SKÅNE LÄN</t>
        </is>
      </c>
      <c r="G100" t="inlineStr">
        <is>
          <t>BROMÖLLA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40214-2026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46290</v>
      </c>
      <c r="E101" s="1" t="n">
        <v>46301</v>
      </c>
      <c r="F101" t="inlineStr">
        <is>
          <t>SKÅNE LÄN</t>
        </is>
      </c>
      <c r="G101" t="inlineStr">
        <is>
          <t>BROMÖLLA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46301</v>
      </c>
      <c r="F102" t="inlineStr">
        <is>
          <t>SKÅNE LÄN</t>
        </is>
      </c>
      <c r="G102" t="inlineStr">
        <is>
          <t>BROMÖLLA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46301</v>
      </c>
      <c r="F103" t="inlineStr">
        <is>
          <t>SKÅNE LÄN</t>
        </is>
      </c>
      <c r="G103" t="inlineStr">
        <is>
          <t>BROMÖLLA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46301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46301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46301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46301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46301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46301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46301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46301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46301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46301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46301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46301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46301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46301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46301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46301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46301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46301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46301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2026-10-06T01:52:16Z</dcterms:created>
  <dcterms:modified xmlns:dcterms="http://purl.org/dc/terms/" xmlns:xsi="http://www.w3.org/2001/XMLSchema-instance" xsi:type="dcterms:W3CDTF">2026-10-06T01:52:16Z</dcterms:modified>
</cp:coreProperties>
</file>