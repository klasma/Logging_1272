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17522-2026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46238</v>
      </c>
      <c r="F9" t="inlineStr">
        <is>
          <t>SKÅNE LÄN</t>
        </is>
      </c>
      <c r="G9" t="inlineStr">
        <is>
          <t>BROMÖLLA</t>
        </is>
      </c>
      <c r="I9" t="n">
        <v>6.4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Sminkrot</t>
        </is>
      </c>
      <c r="W9">
        <f>HYPERLINK("https://klasma.github.io/Logging_1272/artfynd/A 17522-2026 artfynd.xlsx", "A 17522-2026")</f>
        <v/>
      </c>
      <c r="X9">
        <f>HYPERLINK("https://klasma.github.io/Logging_1272/kartor/A 17522-2026 karta.png", "A 17522-2026")</f>
        <v/>
      </c>
      <c r="Y9">
        <f>HYPERLINK("https://klasma.github.io/Logging_1272/kartor_geotiff/A 17522-2026 georefererad karta.tif", "A 17522-2026")</f>
        <v/>
      </c>
      <c r="AA9">
        <f>HYPERLINK("https://klasma.github.io/Logging_1272/klagomål/A 17522-2026 FSC-klagomål.docx", "A 17522-2026")</f>
        <v/>
      </c>
      <c r="AB9">
        <f>HYPERLINK("https://klasma.github.io/Logging_1272/klagomålsmail/A 17522-2026 FSC-klagomål mail.docx", "A 17522-2026")</f>
        <v/>
      </c>
      <c r="AC9">
        <f>HYPERLINK("https://klasma.github.io/Logging_1272/tillsyn/A 17522-2026 tillsynsbegäran.docx", "A 17522-2026")</f>
        <v/>
      </c>
      <c r="AD9">
        <f>HYPERLINK("https://klasma.github.io/Logging_1272/tillsynsmail/A 17522-2026 tillsynsbegäran mail.docx", "A 17522-2026")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46238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35397-2025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45854</v>
      </c>
      <c r="E11" s="1" t="n">
        <v>46238</v>
      </c>
      <c r="F11" t="inlineStr">
        <is>
          <t>SKÅNE LÄN</t>
        </is>
      </c>
      <c r="G11" t="inlineStr">
        <is>
          <t>BROMÖLLA</t>
        </is>
      </c>
      <c r="I11" t="n">
        <v>8.4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Skogsbräsma</t>
        </is>
      </c>
      <c r="W11">
        <f>HYPERLINK("https://klasma.github.io/Logging_1272/artfynd/A 35397-2025 artfynd.xlsx", "A 35397-2025")</f>
        <v/>
      </c>
      <c r="X11">
        <f>HYPERLINK("https://klasma.github.io/Logging_1272/kartor/A 35397-2025 karta.png", "A 35397-2025")</f>
        <v/>
      </c>
      <c r="Y11">
        <f>HYPERLINK("https://klasma.github.io/Logging_1272/kartor_geotiff/A 35397-2025 georefererad karta.tif", "A 35397-2025")</f>
        <v/>
      </c>
      <c r="AA11">
        <f>HYPERLINK("https://klasma.github.io/Logging_1272/klagomål/A 35397-2025 FSC-klagomål.docx", "A 35397-2025")</f>
        <v/>
      </c>
      <c r="AB11">
        <f>HYPERLINK("https://klasma.github.io/Logging_1272/klagomålsmail/A 35397-2025 FSC-klagomål mail.docx", "A 35397-2025")</f>
        <v/>
      </c>
      <c r="AC11">
        <f>HYPERLINK("https://klasma.github.io/Logging_1272/tillsyn/A 35397-2025 tillsynsbegäran.docx", "A 35397-2025")</f>
        <v/>
      </c>
      <c r="AD11">
        <f>HYPERLINK("https://klasma.github.io/Logging_1272/tillsynsmail/A 35397-2025 tillsynsbegäran mail.docx", "A 35397-2025")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46238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20426-2023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45056</v>
      </c>
      <c r="E13" s="1" t="n">
        <v>46238</v>
      </c>
      <c r="F13" t="inlineStr">
        <is>
          <t>SKÅNE LÄN</t>
        </is>
      </c>
      <c r="G13" t="inlineStr">
        <is>
          <t>BROMÖLLA</t>
        </is>
      </c>
      <c r="I13" t="n">
        <v>5.2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Hålnunneört</t>
        </is>
      </c>
      <c r="W13">
        <f>HYPERLINK("https://klasma.github.io/Logging_1272/artfynd/A 20426-2023 artfynd.xlsx", "A 20426-2023")</f>
        <v/>
      </c>
      <c r="X13">
        <f>HYPERLINK("https://klasma.github.io/Logging_1272/kartor/A 20426-2023 karta.png", "A 20426-2023")</f>
        <v/>
      </c>
      <c r="Y13">
        <f>HYPERLINK("https://klasma.github.io/Logging_1272/kartor_geotiff/A 20426-2023 georefererad karta.tif", "A 20426-2023")</f>
        <v/>
      </c>
      <c r="AA13">
        <f>HYPERLINK("https://klasma.github.io/Logging_1272/klagomål/A 20426-2023 FSC-klagomål.docx", "A 20426-2023")</f>
        <v/>
      </c>
      <c r="AB13">
        <f>HYPERLINK("https://klasma.github.io/Logging_1272/klagomålsmail/A 20426-2023 FSC-klagomål mail.docx", "A 20426-2023")</f>
        <v/>
      </c>
      <c r="AC13">
        <f>HYPERLINK("https://klasma.github.io/Logging_1272/tillsyn/A 20426-2023 tillsynsbegäran.docx", "A 20426-2023")</f>
        <v/>
      </c>
      <c r="AD13">
        <f>HYPERLINK("https://klasma.github.io/Logging_1272/tillsynsmail/A 20426-2023 tillsynsbegäran mail.docx", "A 20426-2023")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46238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46238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46238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46238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46238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46238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46238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46238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46238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46238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46238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46238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46238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46238</v>
      </c>
      <c r="F36" t="inlineStr">
        <is>
          <t>SKÅNE LÄN</t>
        </is>
      </c>
      <c r="G36" t="inlineStr">
        <is>
          <t>BROMÖLLA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39455-2024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45551</v>
      </c>
      <c r="E37" s="1" t="n">
        <v>46238</v>
      </c>
      <c r="F37" t="inlineStr">
        <is>
          <t>SKÅNE LÄN</t>
        </is>
      </c>
      <c r="G37" t="inlineStr">
        <is>
          <t>BROMÖLLA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46238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46238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46238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46238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46238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46238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46238</v>
      </c>
      <c r="F44" t="inlineStr">
        <is>
          <t>SKÅNE LÄN</t>
        </is>
      </c>
      <c r="G44" t="inlineStr">
        <is>
          <t>BROMÖLLA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46238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46238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46238</v>
      </c>
      <c r="F47" t="inlineStr">
        <is>
          <t>SKÅNE LÄN</t>
        </is>
      </c>
      <c r="G47" t="inlineStr">
        <is>
          <t>BROMÖLLA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40719-2022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44824</v>
      </c>
      <c r="E48" s="1" t="n">
        <v>46238</v>
      </c>
      <c r="F48" t="inlineStr">
        <is>
          <t>SKÅNE LÄN</t>
        </is>
      </c>
      <c r="G48" t="inlineStr">
        <is>
          <t>BROMÖLLA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46238</v>
      </c>
      <c r="F49" t="inlineStr">
        <is>
          <t>SKÅNE LÄN</t>
        </is>
      </c>
      <c r="G49" t="inlineStr">
        <is>
          <t>BROMÖLLA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46238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46238</v>
      </c>
      <c r="F51" t="inlineStr">
        <is>
          <t>SKÅNE LÄN</t>
        </is>
      </c>
      <c r="G51" t="inlineStr">
        <is>
          <t>BROMÖLLA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46238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46238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46238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46238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46238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46238</v>
      </c>
      <c r="F57" t="inlineStr">
        <is>
          <t>SKÅNE LÄN</t>
        </is>
      </c>
      <c r="G57" t="inlineStr">
        <is>
          <t>BROMÖLLA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51078-2025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46238</v>
      </c>
      <c r="F58" t="inlineStr">
        <is>
          <t>SKÅNE LÄN</t>
        </is>
      </c>
      <c r="G58" t="inlineStr">
        <is>
          <t>BROMÖLLA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28870-2023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46238</v>
      </c>
      <c r="F59" t="inlineStr">
        <is>
          <t>SKÅNE LÄN</t>
        </is>
      </c>
      <c r="G59" t="inlineStr">
        <is>
          <t>BROMÖLLA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46238</v>
      </c>
      <c r="F60" t="inlineStr">
        <is>
          <t>SKÅNE LÄN</t>
        </is>
      </c>
      <c r="G60" t="inlineStr">
        <is>
          <t>BROMÖLLA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46238</v>
      </c>
      <c r="F61" t="inlineStr">
        <is>
          <t>SKÅNE LÄN</t>
        </is>
      </c>
      <c r="G61" t="inlineStr">
        <is>
          <t>BROMÖLLA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46238</v>
      </c>
      <c r="F62" t="inlineStr">
        <is>
          <t>SKÅNE LÄN</t>
        </is>
      </c>
      <c r="G62" t="inlineStr">
        <is>
          <t>BROMÖLLA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55762-2025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46238</v>
      </c>
      <c r="F63" t="inlineStr">
        <is>
          <t>SKÅNE LÄN</t>
        </is>
      </c>
      <c r="G63" t="inlineStr">
        <is>
          <t>BROMÖLLA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45300</v>
      </c>
      <c r="E64" s="1" t="n">
        <v>46238</v>
      </c>
      <c r="F64" t="inlineStr">
        <is>
          <t>SKÅNE LÄN</t>
        </is>
      </c>
      <c r="G64" t="inlineStr">
        <is>
          <t>BROMÖLLA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20136-2026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46238</v>
      </c>
      <c r="F65" t="inlineStr">
        <is>
          <t>SKÅNE LÄN</t>
        </is>
      </c>
      <c r="G65" t="inlineStr">
        <is>
          <t>BROMÖLLA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60055-2025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45993</v>
      </c>
      <c r="E66" s="1" t="n">
        <v>46238</v>
      </c>
      <c r="F66" t="inlineStr">
        <is>
          <t>SKÅNE LÄN</t>
        </is>
      </c>
      <c r="G66" t="inlineStr">
        <is>
          <t>BROMÖLLA</t>
        </is>
      </c>
      <c r="H66" t="inlineStr">
        <is>
          <t>Kyrkan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46238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46238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45866</v>
      </c>
      <c r="E69" s="1" t="n">
        <v>46238</v>
      </c>
      <c r="F69" t="inlineStr">
        <is>
          <t>SKÅNE LÄN</t>
        </is>
      </c>
      <c r="G69" t="inlineStr">
        <is>
          <t>BROMÖLLA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44911</v>
      </c>
      <c r="E70" s="1" t="n">
        <v>46238</v>
      </c>
      <c r="F70" t="inlineStr">
        <is>
          <t>SKÅNE LÄN</t>
        </is>
      </c>
      <c r="G70" t="inlineStr">
        <is>
          <t>BROMÖLLA</t>
        </is>
      </c>
      <c r="H70" t="inlineStr">
        <is>
          <t>Kyrkan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8366-2026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46064</v>
      </c>
      <c r="E71" s="1" t="n">
        <v>46238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46238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46238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46238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31404-2025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46238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46238</v>
      </c>
      <c r="F76" t="inlineStr">
        <is>
          <t>SKÅNE LÄN</t>
        </is>
      </c>
      <c r="G76" t="inlineStr">
        <is>
          <t>BROMÖLLA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46238</v>
      </c>
      <c r="F77" t="inlineStr">
        <is>
          <t>SKÅNE LÄN</t>
        </is>
      </c>
      <c r="G77" t="inlineStr">
        <is>
          <t>BROMÖLLA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45299</v>
      </c>
      <c r="E78" s="1" t="n">
        <v>46238</v>
      </c>
      <c r="F78" t="inlineStr">
        <is>
          <t>SKÅNE LÄN</t>
        </is>
      </c>
      <c r="G78" t="inlineStr">
        <is>
          <t>BROMÖLLA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46238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43647-2021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44433</v>
      </c>
      <c r="E80" s="1" t="n">
        <v>46238</v>
      </c>
      <c r="F80" t="inlineStr">
        <is>
          <t>SKÅNE LÄN</t>
        </is>
      </c>
      <c r="G80" t="inlineStr">
        <is>
          <t>BROMÖLLA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46238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46238</v>
      </c>
      <c r="F82" t="inlineStr">
        <is>
          <t>SKÅNE LÄN</t>
        </is>
      </c>
      <c r="G82" t="inlineStr">
        <is>
          <t>BROMÖLLA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46170</v>
      </c>
      <c r="E83" s="1" t="n">
        <v>46238</v>
      </c>
      <c r="F83" t="inlineStr">
        <is>
          <t>SKÅNE LÄN</t>
        </is>
      </c>
      <c r="G83" t="inlineStr">
        <is>
          <t>BROMÖLLA</t>
        </is>
      </c>
      <c r="I83" t="n">
        <v>13.5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46238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46238</v>
      </c>
      <c r="F85" t="inlineStr">
        <is>
          <t>SKÅNE LÄN</t>
        </is>
      </c>
      <c r="G85" t="inlineStr">
        <is>
          <t>BROMÖLLA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46238</v>
      </c>
      <c r="F86" t="inlineStr">
        <is>
          <t>SKÅNE LÄN</t>
        </is>
      </c>
      <c r="G86" t="inlineStr">
        <is>
          <t>BROMÖLLA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46238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46238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26477-2026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46183</v>
      </c>
      <c r="E89" s="1" t="n">
        <v>46238</v>
      </c>
      <c r="F89" t="inlineStr">
        <is>
          <t>SKÅNE LÄN</t>
        </is>
      </c>
      <c r="G89" t="inlineStr">
        <is>
          <t>BROMÖLLA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46238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46238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46238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46195</v>
      </c>
      <c r="E93" s="1" t="n">
        <v>46238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45117</v>
      </c>
      <c r="E94" s="1" t="n">
        <v>46238</v>
      </c>
      <c r="F94" t="inlineStr">
        <is>
          <t>SKÅNE LÄN</t>
        </is>
      </c>
      <c r="G94" t="inlineStr">
        <is>
          <t>BROMÖLLA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46238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46238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46238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46238</v>
      </c>
      <c r="F98" t="inlineStr">
        <is>
          <t>SKÅNE LÄN</t>
        </is>
      </c>
      <c r="G98" t="inlineStr">
        <is>
          <t>BROMÖLLA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46238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46238</v>
      </c>
      <c r="F100" t="inlineStr">
        <is>
          <t>SKÅNE LÄN</t>
        </is>
      </c>
      <c r="G100" t="inlineStr">
        <is>
          <t>BROMÖLLA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46238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45415</v>
      </c>
      <c r="E102" s="1" t="n">
        <v>46238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45195</v>
      </c>
      <c r="E103" s="1" t="n">
        <v>46238</v>
      </c>
      <c r="F103" t="inlineStr">
        <is>
          <t>SKÅNE LÄN</t>
        </is>
      </c>
      <c r="G103" t="inlineStr">
        <is>
          <t>BROMÖLLA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46238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46238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46238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46238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46238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46238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46238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46238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46238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46238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46238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46238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46238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46238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46238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46238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46238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46238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46238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46238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2026-08-04T01:55:28Z</dcterms:created>
  <dcterms:modified xmlns:dcterms="http://purl.org/dc/terms/" xmlns:xsi="http://www.w3.org/2001/XMLSchema-instance" xsi:type="dcterms:W3CDTF">2026-08-04T01:55:29Z</dcterms:modified>
</cp:coreProperties>
</file>