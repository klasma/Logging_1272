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46233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46233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46233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46233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46233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46233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46233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46233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46233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46233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8362-2026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46064</v>
      </c>
      <c r="E12" s="1" t="n">
        <v>46233</v>
      </c>
      <c r="F12" t="inlineStr">
        <is>
          <t>SKÅNE LÄN</t>
        </is>
      </c>
      <c r="G12" t="inlineStr">
        <is>
          <t>BROMÖLLA</t>
        </is>
      </c>
      <c r="I12" t="n">
        <v>2.7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Rödlånke</t>
        </is>
      </c>
      <c r="W12">
        <f>HYPERLINK("https://klasma.github.io/Logging_1272/artfynd/A 8362-2026 artfynd.xlsx", "A 8362-2026")</f>
        <v/>
      </c>
      <c r="X12">
        <f>HYPERLINK("https://klasma.github.io/Logging_1272/kartor/A 8362-2026 karta.png", "A 8362-2026")</f>
        <v/>
      </c>
      <c r="Y12">
        <f>HYPERLINK("https://klasma.github.io/Logging_1272/kartor_geotiff/A 8362-2026 georefererad karta.tif", "A 8362-2026")</f>
        <v/>
      </c>
      <c r="AA12">
        <f>HYPERLINK("https://klasma.github.io/Logging_1272/klagomål/A 8362-2026 FSC-klagomål.docx", "A 8362-2026")</f>
        <v/>
      </c>
      <c r="AB12">
        <f>HYPERLINK("https://klasma.github.io/Logging_1272/klagomålsmail/A 8362-2026 FSC-klagomål mail.docx", "A 8362-2026")</f>
        <v/>
      </c>
      <c r="AC12">
        <f>HYPERLINK("https://klasma.github.io/Logging_1272/tillsyn/A 8362-2026 tillsynsbegäran.docx", "A 8362-2026")</f>
        <v/>
      </c>
      <c r="AD12">
        <f>HYPERLINK("https://klasma.github.io/Logging_1272/tillsynsmail/A 8362-2026 tillsynsbegäran mail.docx", "A 8362-2026")</f>
        <v/>
      </c>
    </row>
    <row r="13" ht="15" customHeight="1">
      <c r="A13" t="inlineStr">
        <is>
          <t>A 17522-2026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46120</v>
      </c>
      <c r="E13" s="1" t="n">
        <v>46233</v>
      </c>
      <c r="F13" t="inlineStr">
        <is>
          <t>SKÅNE LÄN</t>
        </is>
      </c>
      <c r="G13" t="inlineStr">
        <is>
          <t>BROMÖLLA</t>
        </is>
      </c>
      <c r="I13" t="n">
        <v>6.4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Sminkrot</t>
        </is>
      </c>
      <c r="W13">
        <f>HYPERLINK("https://klasma.github.io/Logging_1272/artfynd/A 17522-2026 artfynd.xlsx", "A 17522-2026")</f>
        <v/>
      </c>
      <c r="X13">
        <f>HYPERLINK("https://klasma.github.io/Logging_1272/kartor/A 17522-2026 karta.png", "A 17522-2026")</f>
        <v/>
      </c>
      <c r="Y13">
        <f>HYPERLINK("https://klasma.github.io/Logging_1272/kartor_geotiff/A 17522-2026 georefererad karta.tif", "A 17522-2026")</f>
        <v/>
      </c>
      <c r="AA13">
        <f>HYPERLINK("https://klasma.github.io/Logging_1272/klagomål/A 17522-2026 FSC-klagomål.docx", "A 17522-2026")</f>
        <v/>
      </c>
      <c r="AB13">
        <f>HYPERLINK("https://klasma.github.io/Logging_1272/klagomålsmail/A 17522-2026 FSC-klagomål mail.docx", "A 17522-2026")</f>
        <v/>
      </c>
      <c r="AC13">
        <f>HYPERLINK("https://klasma.github.io/Logging_1272/tillsyn/A 17522-2026 tillsynsbegäran.docx", "A 17522-2026")</f>
        <v/>
      </c>
      <c r="AD13">
        <f>HYPERLINK("https://klasma.github.io/Logging_1272/tillsynsmail/A 17522-2026 tillsynsbegäran mail.docx", "A 17522-2026")</f>
        <v/>
      </c>
    </row>
    <row r="14" ht="15" customHeight="1">
      <c r="A14" t="inlineStr">
        <is>
          <t>A 35397-2025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45854</v>
      </c>
      <c r="E14" s="1" t="n">
        <v>46233</v>
      </c>
      <c r="F14" t="inlineStr">
        <is>
          <t>SKÅNE LÄN</t>
        </is>
      </c>
      <c r="G14" t="inlineStr">
        <is>
          <t>BROMÖLLA</t>
        </is>
      </c>
      <c r="I14" t="n">
        <v>8.4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Skogsbräsma</t>
        </is>
      </c>
      <c r="W14">
        <f>HYPERLINK("https://klasma.github.io/Logging_1272/artfynd/A 35397-2025 artfynd.xlsx", "A 35397-2025")</f>
        <v/>
      </c>
      <c r="X14">
        <f>HYPERLINK("https://klasma.github.io/Logging_1272/kartor/A 35397-2025 karta.png", "A 35397-2025")</f>
        <v/>
      </c>
      <c r="Y14">
        <f>HYPERLINK("https://klasma.github.io/Logging_1272/kartor_geotiff/A 35397-2025 georefererad karta.tif", "A 35397-2025")</f>
        <v/>
      </c>
      <c r="AA14">
        <f>HYPERLINK("https://klasma.github.io/Logging_1272/klagomål/A 35397-2025 FSC-klagomål.docx", "A 35397-2025")</f>
        <v/>
      </c>
      <c r="AB14">
        <f>HYPERLINK("https://klasma.github.io/Logging_1272/klagomålsmail/A 35397-2025 FSC-klagomål mail.docx", "A 35397-2025")</f>
        <v/>
      </c>
      <c r="AC14">
        <f>HYPERLINK("https://klasma.github.io/Logging_1272/tillsyn/A 35397-2025 tillsynsbegäran.docx", "A 35397-2025")</f>
        <v/>
      </c>
      <c r="AD14">
        <f>HYPERLINK("https://klasma.github.io/Logging_1272/tillsynsmail/A 35397-2025 tillsynsbegäran mail.docx", "A 35397-2025")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46233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46233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46233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46233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46233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46233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46233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46233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Lamellsnäcka</t>
        </is>
      </c>
      <c r="W22">
        <f>HYPERLINK("https://klasma.github.io/Logging_1272/artfynd/S 5381-2021 artfynd.xlsx", "S 5381-2021")</f>
        <v/>
      </c>
      <c r="X22">
        <f>HYPERLINK("https://klasma.github.io/Logging_1272/kartor/S 5381-2021 karta.png", "S 5381-2021")</f>
        <v/>
      </c>
      <c r="Y22">
        <f>HYPERLINK("https://klasma.github.io/Logging_1272/kartor_geotiff/S 5381-2021 georefererad karta.tif", "S 5381-2021")</f>
        <v/>
      </c>
      <c r="AA22">
        <f>HYPERLINK("https://klasma.github.io/Logging_1272/klagomål/S 5381-2021 FSC-klagomål.docx", "S 5381-2021")</f>
        <v/>
      </c>
      <c r="AB22">
        <f>HYPERLINK("https://klasma.github.io/Logging_1272/klagomålsmail/S 5381-2021 FSC-klagomål mail.docx", "S 5381-2021")</f>
        <v/>
      </c>
      <c r="AC22">
        <f>HYPERLINK("https://klasma.github.io/Logging_1272/tillsyn/S 5381-2021 tillsynsbegäran.docx", "S 5381-2021")</f>
        <v/>
      </c>
      <c r="AD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46233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46233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46233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46233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46233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46233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63681-2021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44509</v>
      </c>
      <c r="E29" s="1" t="n">
        <v>46233</v>
      </c>
      <c r="F29" t="inlineStr">
        <is>
          <t>SKÅNE LÄN</t>
        </is>
      </c>
      <c r="G29" t="inlineStr">
        <is>
          <t>BROMÖLLA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46233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46233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44426</v>
      </c>
      <c r="E32" s="1" t="n">
        <v>46233</v>
      </c>
      <c r="F32" t="inlineStr">
        <is>
          <t>SKÅNE LÄN</t>
        </is>
      </c>
      <c r="G32" t="inlineStr">
        <is>
          <t>BROMÖLLA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46233</v>
      </c>
      <c r="F33" t="inlineStr">
        <is>
          <t>SKÅNE LÄN</t>
        </is>
      </c>
      <c r="G33" t="inlineStr">
        <is>
          <t>BROMÖLLA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5779-2022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44596</v>
      </c>
      <c r="E34" s="1" t="n">
        <v>46233</v>
      </c>
      <c r="F34" t="inlineStr">
        <is>
          <t>SKÅNE LÄN</t>
        </is>
      </c>
      <c r="G34" t="inlineStr">
        <is>
          <t>BROMÖLLA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47315-2023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45196</v>
      </c>
      <c r="E35" s="1" t="n">
        <v>46233</v>
      </c>
      <c r="F35" t="inlineStr">
        <is>
          <t>SKÅNE LÄN</t>
        </is>
      </c>
      <c r="G35" t="inlineStr">
        <is>
          <t>BROMÖLLA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43647-2021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44433</v>
      </c>
      <c r="E36" s="1" t="n">
        <v>46233</v>
      </c>
      <c r="F36" t="inlineStr">
        <is>
          <t>SKÅNE LÄN</t>
        </is>
      </c>
      <c r="G36" t="inlineStr">
        <is>
          <t>BROMÖLLA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10275-2024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45365</v>
      </c>
      <c r="E37" s="1" t="n">
        <v>46233</v>
      </c>
      <c r="F37" t="inlineStr">
        <is>
          <t>SKÅNE LÄN</t>
        </is>
      </c>
      <c r="G37" t="inlineStr">
        <is>
          <t>BROMÖLLA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31649-2023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45117</v>
      </c>
      <c r="E38" s="1" t="n">
        <v>46233</v>
      </c>
      <c r="F38" t="inlineStr">
        <is>
          <t>SKÅNE LÄN</t>
        </is>
      </c>
      <c r="G38" t="inlineStr">
        <is>
          <t>BROMÖLLA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45300</v>
      </c>
      <c r="E39" s="1" t="n">
        <v>46233</v>
      </c>
      <c r="F39" t="inlineStr">
        <is>
          <t>SKÅNE LÄN</t>
        </is>
      </c>
      <c r="G39" t="inlineStr">
        <is>
          <t>BROMÖLLA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49831-2022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46233</v>
      </c>
      <c r="F40" t="inlineStr">
        <is>
          <t>SKÅNE LÄN</t>
        </is>
      </c>
      <c r="G40" t="inlineStr">
        <is>
          <t>BROMÖLLA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34216-2023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45126</v>
      </c>
      <c r="E41" s="1" t="n">
        <v>46233</v>
      </c>
      <c r="F41" t="inlineStr">
        <is>
          <t>SKÅNE LÄN</t>
        </is>
      </c>
      <c r="G41" t="inlineStr">
        <is>
          <t>BROMÖLLA</t>
        </is>
      </c>
      <c r="H41" t="inlineStr">
        <is>
          <t>Kyrkan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42912-2024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45566</v>
      </c>
      <c r="E42" s="1" t="n">
        <v>46233</v>
      </c>
      <c r="F42" t="inlineStr">
        <is>
          <t>SKÅNE LÄN</t>
        </is>
      </c>
      <c r="G42" t="inlineStr">
        <is>
          <t>BROMÖLLA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61701-2022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44911</v>
      </c>
      <c r="E43" s="1" t="n">
        <v>46233</v>
      </c>
      <c r="F43" t="inlineStr">
        <is>
          <t>SKÅNE LÄN</t>
        </is>
      </c>
      <c r="G43" t="inlineStr">
        <is>
          <t>BROMÖLLA</t>
        </is>
      </c>
      <c r="H43" t="inlineStr">
        <is>
          <t>Kyrkan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30112-2023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45110</v>
      </c>
      <c r="E44" s="1" t="n">
        <v>46233</v>
      </c>
      <c r="F44" t="inlineStr">
        <is>
          <t>SKÅNE LÄN</t>
        </is>
      </c>
      <c r="G44" t="inlineStr">
        <is>
          <t>BROMÖLLA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27965-2025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45817</v>
      </c>
      <c r="E45" s="1" t="n">
        <v>46233</v>
      </c>
      <c r="F45" t="inlineStr">
        <is>
          <t>SKÅNE LÄN</t>
        </is>
      </c>
      <c r="G45" t="inlineStr">
        <is>
          <t>BROMÖLLA</t>
        </is>
      </c>
      <c r="I45" t="n">
        <v>12.7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57181-2024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45629</v>
      </c>
      <c r="E46" s="1" t="n">
        <v>46233</v>
      </c>
      <c r="F46" t="inlineStr">
        <is>
          <t>SKÅNE LÄN</t>
        </is>
      </c>
      <c r="G46" t="inlineStr">
        <is>
          <t>BROMÖLLA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45299</v>
      </c>
      <c r="E47" s="1" t="n">
        <v>46233</v>
      </c>
      <c r="F47" t="inlineStr">
        <is>
          <t>SKÅNE LÄN</t>
        </is>
      </c>
      <c r="G47" t="inlineStr">
        <is>
          <t>BROMÖLLA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11861-2025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45728</v>
      </c>
      <c r="E48" s="1" t="n">
        <v>46233</v>
      </c>
      <c r="F48" t="inlineStr">
        <is>
          <t>SKÅNE LÄN</t>
        </is>
      </c>
      <c r="G48" t="inlineStr">
        <is>
          <t>BROMÖLLA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8366-2026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46064</v>
      </c>
      <c r="E49" s="1" t="n">
        <v>46233</v>
      </c>
      <c r="F49" t="inlineStr">
        <is>
          <t>SKÅNE LÄN</t>
        </is>
      </c>
      <c r="G49" t="inlineStr">
        <is>
          <t>BROMÖLLA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2453-2025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45674</v>
      </c>
      <c r="E50" s="1" t="n">
        <v>46233</v>
      </c>
      <c r="F50" t="inlineStr">
        <is>
          <t>SKÅNE LÄN</t>
        </is>
      </c>
      <c r="G50" t="inlineStr">
        <is>
          <t>BROMÖLLA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2448-2025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46233</v>
      </c>
      <c r="F51" t="inlineStr">
        <is>
          <t>SKÅNE LÄN</t>
        </is>
      </c>
      <c r="G51" t="inlineStr">
        <is>
          <t>BROMÖLLA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17253-2023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45033</v>
      </c>
      <c r="E52" s="1" t="n">
        <v>46233</v>
      </c>
      <c r="F52" t="inlineStr">
        <is>
          <t>SKÅNE LÄN</t>
        </is>
      </c>
      <c r="G52" t="inlineStr">
        <is>
          <t>BROMÖLLA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9508-2026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46233</v>
      </c>
      <c r="F53" t="inlineStr">
        <is>
          <t>SKÅNE LÄN</t>
        </is>
      </c>
      <c r="G53" t="inlineStr">
        <is>
          <t>BROMÖLLA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9509-2026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46233</v>
      </c>
      <c r="F54" t="inlineStr">
        <is>
          <t>SKÅNE LÄN</t>
        </is>
      </c>
      <c r="G54" t="inlineStr">
        <is>
          <t>BROMÖLLA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41253-2023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45174</v>
      </c>
      <c r="E55" s="1" t="n">
        <v>46233</v>
      </c>
      <c r="F55" t="inlineStr">
        <is>
          <t>SKÅNE LÄN</t>
        </is>
      </c>
      <c r="G55" t="inlineStr">
        <is>
          <t>BROMÖLLA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35804-2023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45148</v>
      </c>
      <c r="E56" s="1" t="n">
        <v>46233</v>
      </c>
      <c r="F56" t="inlineStr">
        <is>
          <t>SKÅNE LÄN</t>
        </is>
      </c>
      <c r="G56" t="inlineStr">
        <is>
          <t>BROMÖLLA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55762-2025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45972</v>
      </c>
      <c r="E57" s="1" t="n">
        <v>46233</v>
      </c>
      <c r="F57" t="inlineStr">
        <is>
          <t>SKÅNE LÄN</t>
        </is>
      </c>
      <c r="G57" t="inlineStr">
        <is>
          <t>BROMÖLLA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52307-2023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45217</v>
      </c>
      <c r="E58" s="1" t="n">
        <v>46233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30089-2023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45110</v>
      </c>
      <c r="E59" s="1" t="n">
        <v>46233</v>
      </c>
      <c r="F59" t="inlineStr">
        <is>
          <t>SKÅNE LÄN</t>
        </is>
      </c>
      <c r="G59" t="inlineStr">
        <is>
          <t>BROMÖLLA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46733-2023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45195</v>
      </c>
      <c r="E60" s="1" t="n">
        <v>46233</v>
      </c>
      <c r="F60" t="inlineStr">
        <is>
          <t>SKÅNE LÄN</t>
        </is>
      </c>
      <c r="G60" t="inlineStr">
        <is>
          <t>BROMÖLLA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56360-2023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45243</v>
      </c>
      <c r="E61" s="1" t="n">
        <v>46233</v>
      </c>
      <c r="F61" t="inlineStr">
        <is>
          <t>SKÅNE LÄN</t>
        </is>
      </c>
      <c r="G61" t="inlineStr">
        <is>
          <t>BROMÖLLA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31404-2025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45833</v>
      </c>
      <c r="E62" s="1" t="n">
        <v>46233</v>
      </c>
      <c r="F62" t="inlineStr">
        <is>
          <t>SKÅNE LÄN</t>
        </is>
      </c>
      <c r="G62" t="inlineStr">
        <is>
          <t>BROMÖLLA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30075-2023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46233</v>
      </c>
      <c r="F63" t="inlineStr">
        <is>
          <t>SKÅNE LÄN</t>
        </is>
      </c>
      <c r="G63" t="inlineStr">
        <is>
          <t>BROMÖLLA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43276-2023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45180</v>
      </c>
      <c r="E64" s="1" t="n">
        <v>46233</v>
      </c>
      <c r="F64" t="inlineStr">
        <is>
          <t>SKÅNE LÄN</t>
        </is>
      </c>
      <c r="G64" t="inlineStr">
        <is>
          <t>BROMÖLLA</t>
        </is>
      </c>
      <c r="I64" t="n">
        <v>5.6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60055-2025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45993</v>
      </c>
      <c r="E65" s="1" t="n">
        <v>46233</v>
      </c>
      <c r="F65" t="inlineStr">
        <is>
          <t>SKÅNE LÄN</t>
        </is>
      </c>
      <c r="G65" t="inlineStr">
        <is>
          <t>BROMÖLLA</t>
        </is>
      </c>
      <c r="H65" t="inlineStr">
        <is>
          <t>Kyrkan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60698-2025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45996</v>
      </c>
      <c r="E66" s="1" t="n">
        <v>46233</v>
      </c>
      <c r="F66" t="inlineStr">
        <is>
          <t>SKÅNE LÄN</t>
        </is>
      </c>
      <c r="G66" t="inlineStr">
        <is>
          <t>BROMÖLLA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46233</v>
      </c>
      <c r="F67" t="inlineStr">
        <is>
          <t>SKÅNE LÄN</t>
        </is>
      </c>
      <c r="G67" t="inlineStr">
        <is>
          <t>BROMÖLLA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60696-2025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45996</v>
      </c>
      <c r="E68" s="1" t="n">
        <v>46233</v>
      </c>
      <c r="F68" t="inlineStr">
        <is>
          <t>SKÅNE LÄN</t>
        </is>
      </c>
      <c r="G68" t="inlineStr">
        <is>
          <t>BROMÖLLA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39455-2024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45551</v>
      </c>
      <c r="E69" s="1" t="n">
        <v>46233</v>
      </c>
      <c r="F69" t="inlineStr">
        <is>
          <t>SKÅNE LÄN</t>
        </is>
      </c>
      <c r="G69" t="inlineStr">
        <is>
          <t>BROMÖLLA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42333-2023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45180</v>
      </c>
      <c r="E70" s="1" t="n">
        <v>46233</v>
      </c>
      <c r="F70" t="inlineStr">
        <is>
          <t>SKÅNE LÄN</t>
        </is>
      </c>
      <c r="G70" t="inlineStr">
        <is>
          <t>BROMÖLLA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46233</v>
      </c>
      <c r="F71" t="inlineStr">
        <is>
          <t>SKÅNE LÄN</t>
        </is>
      </c>
      <c r="G71" t="inlineStr">
        <is>
          <t>BROMÖLLA</t>
        </is>
      </c>
      <c r="I71" t="n">
        <v>3.2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36086-2025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45866</v>
      </c>
      <c r="E72" s="1" t="n">
        <v>46233</v>
      </c>
      <c r="F72" t="inlineStr">
        <is>
          <t>SKÅNE LÄN</t>
        </is>
      </c>
      <c r="G72" t="inlineStr">
        <is>
          <t>BROMÖLLA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30101-2023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46233</v>
      </c>
      <c r="F73" t="inlineStr">
        <is>
          <t>SKÅNE LÄN</t>
        </is>
      </c>
      <c r="G73" t="inlineStr">
        <is>
          <t>BROMÖLLA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42748-2022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44831</v>
      </c>
      <c r="E74" s="1" t="n">
        <v>46233</v>
      </c>
      <c r="F74" t="inlineStr">
        <is>
          <t>SKÅNE LÄN</t>
        </is>
      </c>
      <c r="G74" t="inlineStr">
        <is>
          <t>BROMÖLLA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35802-2023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45148</v>
      </c>
      <c r="E75" s="1" t="n">
        <v>46233</v>
      </c>
      <c r="F75" t="inlineStr">
        <is>
          <t>SKÅNE LÄN</t>
        </is>
      </c>
      <c r="G75" t="inlineStr">
        <is>
          <t>BROMÖLLA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20136-2026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46136</v>
      </c>
      <c r="E76" s="1" t="n">
        <v>46233</v>
      </c>
      <c r="F76" t="inlineStr">
        <is>
          <t>SKÅNE LÄN</t>
        </is>
      </c>
      <c r="G76" t="inlineStr">
        <is>
          <t>BROMÖLLA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51078-2025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45947</v>
      </c>
      <c r="E77" s="1" t="n">
        <v>46233</v>
      </c>
      <c r="F77" t="inlineStr">
        <is>
          <t>SKÅNE LÄN</t>
        </is>
      </c>
      <c r="G77" t="inlineStr">
        <is>
          <t>BROMÖLLA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32272-2024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45512</v>
      </c>
      <c r="E78" s="1" t="n">
        <v>46233</v>
      </c>
      <c r="F78" t="inlineStr">
        <is>
          <t>SKÅNE LÄN</t>
        </is>
      </c>
      <c r="G78" t="inlineStr">
        <is>
          <t>BROMÖLLA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40719-2022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44824</v>
      </c>
      <c r="E79" s="1" t="n">
        <v>46233</v>
      </c>
      <c r="F79" t="inlineStr">
        <is>
          <t>SKÅNE LÄN</t>
        </is>
      </c>
      <c r="G79" t="inlineStr">
        <is>
          <t>BROMÖLLA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35798-2023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45148</v>
      </c>
      <c r="E80" s="1" t="n">
        <v>46233</v>
      </c>
      <c r="F80" t="inlineStr">
        <is>
          <t>SKÅNE LÄN</t>
        </is>
      </c>
      <c r="G80" t="inlineStr">
        <is>
          <t>BROMÖLLA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56056-2023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45233</v>
      </c>
      <c r="E81" s="1" t="n">
        <v>46233</v>
      </c>
      <c r="F81" t="inlineStr">
        <is>
          <t>SKÅNE LÄN</t>
        </is>
      </c>
      <c r="G81" t="inlineStr">
        <is>
          <t>BROMÖLLA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41254-2023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45174</v>
      </c>
      <c r="E82" s="1" t="n">
        <v>46233</v>
      </c>
      <c r="F82" t="inlineStr">
        <is>
          <t>SKÅNE LÄN</t>
        </is>
      </c>
      <c r="G82" t="inlineStr">
        <is>
          <t>BROMÖLLA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46233</v>
      </c>
      <c r="F83" t="inlineStr">
        <is>
          <t>SKÅNE LÄN</t>
        </is>
      </c>
      <c r="G83" t="inlineStr">
        <is>
          <t>BROMÖLLA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1566-2024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45306</v>
      </c>
      <c r="E84" s="1" t="n">
        <v>46233</v>
      </c>
      <c r="F84" t="inlineStr">
        <is>
          <t>SKÅNE LÄN</t>
        </is>
      </c>
      <c r="G84" t="inlineStr">
        <is>
          <t>BROMÖLLA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36421-2022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44804</v>
      </c>
      <c r="E85" s="1" t="n">
        <v>46233</v>
      </c>
      <c r="F85" t="inlineStr">
        <is>
          <t>SKÅNE LÄN</t>
        </is>
      </c>
      <c r="G85" t="inlineStr">
        <is>
          <t>BROMÖLLA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39284-2025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45889</v>
      </c>
      <c r="E86" s="1" t="n">
        <v>46233</v>
      </c>
      <c r="F86" t="inlineStr">
        <is>
          <t>SKÅNE LÄN</t>
        </is>
      </c>
      <c r="G86" t="inlineStr">
        <is>
          <t>BROMÖLLA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44993</v>
      </c>
      <c r="E87" s="1" t="n">
        <v>46233</v>
      </c>
      <c r="F87" t="inlineStr">
        <is>
          <t>SKÅNE LÄN</t>
        </is>
      </c>
      <c r="G87" t="inlineStr">
        <is>
          <t>BROMÖLLA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48974-2025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46233</v>
      </c>
      <c r="F88" t="inlineStr">
        <is>
          <t>SKÅNE LÄN</t>
        </is>
      </c>
      <c r="G88" t="inlineStr">
        <is>
          <t>BROMÖLLA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24528-2026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46170</v>
      </c>
      <c r="E89" s="1" t="n">
        <v>46233</v>
      </c>
      <c r="F89" t="inlineStr">
        <is>
          <t>SKÅNE LÄN</t>
        </is>
      </c>
      <c r="G89" t="inlineStr">
        <is>
          <t>BROMÖLLA</t>
        </is>
      </c>
      <c r="I89" t="n">
        <v>13.5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45000</v>
      </c>
      <c r="E90" s="1" t="n">
        <v>46233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46233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9006-2024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45357</v>
      </c>
      <c r="E92" s="1" t="n">
        <v>46233</v>
      </c>
      <c r="F92" t="inlineStr">
        <is>
          <t>SKÅNE LÄN</t>
        </is>
      </c>
      <c r="G92" t="inlineStr">
        <is>
          <t>BROMÖLLA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26477-2026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46183</v>
      </c>
      <c r="E93" s="1" t="n">
        <v>46233</v>
      </c>
      <c r="F93" t="inlineStr">
        <is>
          <t>SKÅNE LÄN</t>
        </is>
      </c>
      <c r="G93" t="inlineStr">
        <is>
          <t>BROMÖLLA</t>
        </is>
      </c>
      <c r="I93" t="n">
        <v>15.6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33255-2023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45127</v>
      </c>
      <c r="E94" s="1" t="n">
        <v>46233</v>
      </c>
      <c r="F94" t="inlineStr">
        <is>
          <t>SKÅNE LÄN</t>
        </is>
      </c>
      <c r="G94" t="inlineStr">
        <is>
          <t>BROMÖLLA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45415</v>
      </c>
      <c r="E95" s="1" t="n">
        <v>46233</v>
      </c>
      <c r="F95" t="inlineStr">
        <is>
          <t>SKÅNE LÄN</t>
        </is>
      </c>
      <c r="G95" t="inlineStr">
        <is>
          <t>BROMÖLLA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26765-2026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46184</v>
      </c>
      <c r="E96" s="1" t="n">
        <v>46233</v>
      </c>
      <c r="F96" t="inlineStr">
        <is>
          <t>SKÅNE LÄN</t>
        </is>
      </c>
      <c r="G96" t="inlineStr">
        <is>
          <t>BROMÖLLA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31810-2026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46233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31815-2026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46230</v>
      </c>
      <c r="E98" s="1" t="n">
        <v>46233</v>
      </c>
      <c r="F98" t="inlineStr">
        <is>
          <t>SKÅNE LÄN</t>
        </is>
      </c>
      <c r="G98" t="inlineStr">
        <is>
          <t>BROMÖLLA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45384</v>
      </c>
      <c r="E99" s="1" t="n">
        <v>46233</v>
      </c>
      <c r="F99" t="inlineStr">
        <is>
          <t>SKÅNE LÄN</t>
        </is>
      </c>
      <c r="G99" t="inlineStr">
        <is>
          <t>BROMÖLLA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46233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42909-2024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45566</v>
      </c>
      <c r="E101" s="1" t="n">
        <v>46233</v>
      </c>
      <c r="F101" t="inlineStr">
        <is>
          <t>SKÅNE LÄN</t>
        </is>
      </c>
      <c r="G101" t="inlineStr">
        <is>
          <t>BROMÖLLA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45104</v>
      </c>
      <c r="E102" s="1" t="n">
        <v>46233</v>
      </c>
      <c r="F102" t="inlineStr">
        <is>
          <t>SKÅNE LÄN</t>
        </is>
      </c>
      <c r="G102" t="inlineStr">
        <is>
          <t>BROMÖLLA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46233</v>
      </c>
      <c r="F103" t="inlineStr">
        <is>
          <t>SKÅNE LÄN</t>
        </is>
      </c>
      <c r="G103" t="inlineStr">
        <is>
          <t>BROMÖLLA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46233</v>
      </c>
      <c r="F104" t="inlineStr">
        <is>
          <t>SKÅNE LÄN</t>
        </is>
      </c>
      <c r="G104" t="inlineStr">
        <is>
          <t>BROMÖLLA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46233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46233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46233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46233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46233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46233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46233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46233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46233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46233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46233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46233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46233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46233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46233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46233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46233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46233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46233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2026-07-30T01:49:14Z</dcterms:created>
  <dcterms:modified xmlns:dcterms="http://purl.org/dc/terms/" xmlns:xsi="http://www.w3.org/2001/XMLSchema-instance" xsi:type="dcterms:W3CDTF">2026-07-30T01:49:14Z</dcterms:modified>
</cp:coreProperties>
</file>