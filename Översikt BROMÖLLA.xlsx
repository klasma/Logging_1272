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46280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8362-2026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46280</v>
      </c>
      <c r="F10" t="inlineStr">
        <is>
          <t>SKÅNE LÄN</t>
        </is>
      </c>
      <c r="G10" t="inlineStr">
        <is>
          <t>BROMÖLLA</t>
        </is>
      </c>
      <c r="I10" t="n">
        <v>2.7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Rödlånke</t>
        </is>
      </c>
      <c r="W10">
        <f>HYPERLINK("https://klasma.github.io/Logging_1272/artfynd/A 8362-2026 artfynd.xlsx", "A 8362-2026")</f>
        <v/>
      </c>
      <c r="X10">
        <f>HYPERLINK("https://klasma.github.io/Logging_1272/kartor/A 8362-2026 karta.png", "A 8362-2026")</f>
        <v/>
      </c>
      <c r="Y10">
        <f>HYPERLINK("https://klasma.github.io/Logging_1272/kartor_geotiff/A 8362-2026 georefererad karta.tif", "A 8362-2026")</f>
        <v/>
      </c>
      <c r="AA10">
        <f>HYPERLINK("https://klasma.github.io/Logging_1272/klagomål/A 8362-2026 FSC-klagomål.docx", "A 8362-2026")</f>
        <v/>
      </c>
      <c r="AB10">
        <f>HYPERLINK("https://klasma.github.io/Logging_1272/klagomålsmail/A 8362-2026 FSC-klagomål mail.docx", "A 8362-2026")</f>
        <v/>
      </c>
      <c r="AC10">
        <f>HYPERLINK("https://klasma.github.io/Logging_1272/tillsyn/A 8362-2026 tillsynsbegäran.docx", "A 8362-2026")</f>
        <v/>
      </c>
      <c r="AD10">
        <f>HYPERLINK("https://klasma.github.io/Logging_1272/tillsynsmail/A 8362-2026 tillsynsbegäran mail.docx", "A 8362-2026")</f>
        <v/>
      </c>
    </row>
    <row r="11" ht="15" customHeight="1">
      <c r="A11" t="inlineStr">
        <is>
          <t>A 17522-2026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46280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Sminkrot</t>
        </is>
      </c>
      <c r="W11">
        <f>HYPERLINK("https://klasma.github.io/Logging_1272/artfynd/A 17522-2026 artfynd.xlsx", "A 17522-2026")</f>
        <v/>
      </c>
      <c r="X11">
        <f>HYPERLINK("https://klasma.github.io/Logging_1272/kartor/A 17522-2026 karta.png", "A 17522-2026")</f>
        <v/>
      </c>
      <c r="Y11">
        <f>HYPERLINK("https://klasma.github.io/Logging_1272/kartor_geotiff/A 17522-2026 georefererad karta.tif", "A 17522-2026")</f>
        <v/>
      </c>
      <c r="AA11">
        <f>HYPERLINK("https://klasma.github.io/Logging_1272/klagomål/A 17522-2026 FSC-klagomål.docx", "A 17522-2026")</f>
        <v/>
      </c>
      <c r="AB11">
        <f>HYPERLINK("https://klasma.github.io/Logging_1272/klagomålsmail/A 17522-2026 FSC-klagomål mail.docx", "A 17522-2026")</f>
        <v/>
      </c>
      <c r="AC11">
        <f>HYPERLINK("https://klasma.github.io/Logging_1272/tillsyn/A 17522-2026 tillsynsbegäran.docx", "A 17522-2026")</f>
        <v/>
      </c>
      <c r="AD11">
        <f>HYPERLINK("https://klasma.github.io/Logging_1272/tillsynsmail/A 17522-2026 tillsynsbegäran mail.docx", "A 17522-2026")</f>
        <v/>
      </c>
    </row>
    <row r="12" ht="15" customHeight="1">
      <c r="A12" t="inlineStr">
        <is>
          <t>A 50118-2022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44860</v>
      </c>
      <c r="E12" s="1" t="n">
        <v>46280</v>
      </c>
      <c r="F12" t="inlineStr">
        <is>
          <t>SKÅNE LÄN</t>
        </is>
      </c>
      <c r="G12" t="inlineStr">
        <is>
          <t>BROMÖLLA</t>
        </is>
      </c>
      <c r="I12" t="n">
        <v>12.8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Myskmadra</t>
        </is>
      </c>
      <c r="W12">
        <f>HYPERLINK("https://klasma.github.io/Logging_1272/artfynd/A 50118-2022 artfynd.xlsx", "A 50118-2022")</f>
        <v/>
      </c>
      <c r="X12">
        <f>HYPERLINK("https://klasma.github.io/Logging_1272/kartor/A 50118-2022 karta.png", "A 50118-2022")</f>
        <v/>
      </c>
      <c r="Y12">
        <f>HYPERLINK("https://klasma.github.io/Logging_1272/kartor_geotiff/A 50118-2022 georefererad karta.tif", "A 50118-2022")</f>
        <v/>
      </c>
      <c r="AA12">
        <f>HYPERLINK("https://klasma.github.io/Logging_1272/klagomål/A 50118-2022 FSC-klagomål.docx", "A 50118-2022")</f>
        <v/>
      </c>
      <c r="AB12">
        <f>HYPERLINK("https://klasma.github.io/Logging_1272/klagomålsmail/A 50118-2022 FSC-klagomål mail.docx", "A 50118-2022")</f>
        <v/>
      </c>
      <c r="AC12">
        <f>HYPERLINK("https://klasma.github.io/Logging_1272/tillsyn/A 50118-2022 tillsynsbegäran.docx", "A 50118-2022")</f>
        <v/>
      </c>
      <c r="AD12">
        <f>HYPERLINK("https://klasma.github.io/Logging_1272/tillsynsmail/A 50118-2022 tillsynsbegäran mail.docx", "A 50118-2022")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46280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46280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46280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46280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46280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46280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46280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46280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46280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46280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46280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46280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46280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46280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46280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46280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46280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46280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46280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46280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46280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46280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46280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46280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46280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46280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46280</v>
      </c>
      <c r="F44" t="inlineStr">
        <is>
          <t>SKÅNE LÄN</t>
        </is>
      </c>
      <c r="G44" t="inlineStr">
        <is>
          <t>BROMÖLLA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46280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46280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46280</v>
      </c>
      <c r="F47" t="inlineStr">
        <is>
          <t>SKÅNE LÄN</t>
        </is>
      </c>
      <c r="G47" t="inlineStr">
        <is>
          <t>BROMÖLLA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46280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46280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46280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46280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46280</v>
      </c>
      <c r="F52" t="inlineStr">
        <is>
          <t>SKÅNE LÄN</t>
        </is>
      </c>
      <c r="G52" t="inlineStr">
        <is>
          <t>BROMÖLLA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46280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46280</v>
      </c>
      <c r="F54" t="inlineStr">
        <is>
          <t>SKÅNE LÄN</t>
        </is>
      </c>
      <c r="G54" t="inlineStr">
        <is>
          <t>BROMÖLLA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46280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46280</v>
      </c>
      <c r="F56" t="inlineStr">
        <is>
          <t>SKÅNE LÄN</t>
        </is>
      </c>
      <c r="G56" t="inlineStr">
        <is>
          <t>BROMÖLLA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46280</v>
      </c>
      <c r="F57" t="inlineStr">
        <is>
          <t>SKÅNE LÄN</t>
        </is>
      </c>
      <c r="G57" t="inlineStr">
        <is>
          <t>BROMÖLLA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46280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46280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45947</v>
      </c>
      <c r="E60" s="1" t="n">
        <v>46280</v>
      </c>
      <c r="F60" t="inlineStr">
        <is>
          <t>SKÅNE LÄN</t>
        </is>
      </c>
      <c r="G60" t="inlineStr">
        <is>
          <t>BROMÖLLA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49831-2022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46280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34216-2023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45126</v>
      </c>
      <c r="E62" s="1" t="n">
        <v>46280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46280</v>
      </c>
      <c r="F63" t="inlineStr">
        <is>
          <t>SKÅNE LÄN</t>
        </is>
      </c>
      <c r="G63" t="inlineStr">
        <is>
          <t>BROMÖLLA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46280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46280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46280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20136-2026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46280</v>
      </c>
      <c r="F67" t="inlineStr">
        <is>
          <t>SKÅNE LÄN</t>
        </is>
      </c>
      <c r="G67" t="inlineStr">
        <is>
          <t>BROMÖLLA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45033</v>
      </c>
      <c r="E68" s="1" t="n">
        <v>46280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28870-2023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45104</v>
      </c>
      <c r="E69" s="1" t="n">
        <v>46280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45384</v>
      </c>
      <c r="E70" s="1" t="n">
        <v>46280</v>
      </c>
      <c r="F70" t="inlineStr">
        <is>
          <t>SKÅNE LÄN</t>
        </is>
      </c>
      <c r="G70" t="inlineStr">
        <is>
          <t>BROMÖLLA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46280</v>
      </c>
      <c r="F71" t="inlineStr">
        <is>
          <t>SKÅNE LÄN</t>
        </is>
      </c>
      <c r="G71" t="inlineStr">
        <is>
          <t>BROMÖLLA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45889</v>
      </c>
      <c r="E72" s="1" t="n">
        <v>46280</v>
      </c>
      <c r="F72" t="inlineStr">
        <is>
          <t>SKÅNE LÄN</t>
        </is>
      </c>
      <c r="G72" t="inlineStr">
        <is>
          <t>BROMÖLLA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46280</v>
      </c>
      <c r="F73" t="inlineStr">
        <is>
          <t>SKÅNE LÄN</t>
        </is>
      </c>
      <c r="G73" t="inlineStr">
        <is>
          <t>BROMÖLLA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46170</v>
      </c>
      <c r="E74" s="1" t="n">
        <v>46280</v>
      </c>
      <c r="F74" t="inlineStr">
        <is>
          <t>SKÅNE LÄN</t>
        </is>
      </c>
      <c r="G74" t="inlineStr">
        <is>
          <t>BROMÖLLA</t>
        </is>
      </c>
      <c r="I74" t="n">
        <v>13.5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46184</v>
      </c>
      <c r="E75" s="1" t="n">
        <v>46280</v>
      </c>
      <c r="F75" t="inlineStr">
        <is>
          <t>SKÅNE LÄN</t>
        </is>
      </c>
      <c r="G75" t="inlineStr">
        <is>
          <t>BROMÖLLA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46183</v>
      </c>
      <c r="E76" s="1" t="n">
        <v>46280</v>
      </c>
      <c r="F76" t="inlineStr">
        <is>
          <t>SKÅNE LÄN</t>
        </is>
      </c>
      <c r="G76" t="inlineStr">
        <is>
          <t>BROMÖLLA</t>
        </is>
      </c>
      <c r="I76" t="n">
        <v>15.6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46280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45300</v>
      </c>
      <c r="E78" s="1" t="n">
        <v>46280</v>
      </c>
      <c r="F78" t="inlineStr">
        <is>
          <t>SKÅNE LÄN</t>
        </is>
      </c>
      <c r="G78" t="inlineStr">
        <is>
          <t>BROMÖLLA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46230</v>
      </c>
      <c r="E79" s="1" t="n">
        <v>46280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46230</v>
      </c>
      <c r="E80" s="1" t="n">
        <v>46280</v>
      </c>
      <c r="F80" t="inlineStr">
        <is>
          <t>SKÅNE LÄN</t>
        </is>
      </c>
      <c r="G80" t="inlineStr">
        <is>
          <t>BROMÖLLA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44911</v>
      </c>
      <c r="E81" s="1" t="n">
        <v>46280</v>
      </c>
      <c r="F81" t="inlineStr">
        <is>
          <t>SKÅNE LÄN</t>
        </is>
      </c>
      <c r="G81" t="inlineStr">
        <is>
          <t>BROMÖLLA</t>
        </is>
      </c>
      <c r="H81" t="inlineStr">
        <is>
          <t>Kyrkan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46280</v>
      </c>
      <c r="F82" t="inlineStr">
        <is>
          <t>SKÅNE LÄN</t>
        </is>
      </c>
      <c r="G82" t="inlineStr">
        <is>
          <t>BROMÖLLA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46280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46280</v>
      </c>
      <c r="F84" t="inlineStr">
        <is>
          <t>SKÅNE LÄN</t>
        </is>
      </c>
      <c r="G84" t="inlineStr">
        <is>
          <t>BROMÖLLA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46280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46280</v>
      </c>
      <c r="F86" t="inlineStr">
        <is>
          <t>SKÅNE LÄN</t>
        </is>
      </c>
      <c r="G86" t="inlineStr">
        <is>
          <t>BROMÖLLA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46280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46280</v>
      </c>
      <c r="F88" t="inlineStr">
        <is>
          <t>SKÅNE LÄN</t>
        </is>
      </c>
      <c r="G88" t="inlineStr">
        <is>
          <t>BROMÖLLA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46280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46280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46280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46280</v>
      </c>
      <c r="F92" t="inlineStr">
        <is>
          <t>SKÅNE LÄN</t>
        </is>
      </c>
      <c r="G92" t="inlineStr">
        <is>
          <t>BROMÖLLA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46280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46280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46280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46280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46280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46280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46280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46280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46280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46280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46280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46280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46280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46280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46280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46280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46280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46280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46280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46280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46280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46280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46280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46280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46280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46280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46280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46280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2026-09-15T08:14:14Z</dcterms:created>
  <dcterms:modified xmlns:dcterms="http://purl.org/dc/terms/" xmlns:xsi="http://www.w3.org/2001/XMLSchema-instance" xsi:type="dcterms:W3CDTF">2026-09-15T08:14:14Z</dcterms:modified>
</cp:coreProperties>
</file>