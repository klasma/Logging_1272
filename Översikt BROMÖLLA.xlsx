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46242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46242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46242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46242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46242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46242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46242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46242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8362-2026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46242</v>
      </c>
      <c r="F10" t="inlineStr">
        <is>
          <t>SKÅNE LÄN</t>
        </is>
      </c>
      <c r="G10" t="inlineStr">
        <is>
          <t>BROMÖLLA</t>
        </is>
      </c>
      <c r="I10" t="n">
        <v>2.7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Rödlånke</t>
        </is>
      </c>
      <c r="W10">
        <f>HYPERLINK("https://klasma.github.io/Logging_1272/artfynd/A 8362-2026 artfynd.xlsx", "A 8362-2026")</f>
        <v/>
      </c>
      <c r="X10">
        <f>HYPERLINK("https://klasma.github.io/Logging_1272/kartor/A 8362-2026 karta.png", "A 8362-2026")</f>
        <v/>
      </c>
      <c r="Y10">
        <f>HYPERLINK("https://klasma.github.io/Logging_1272/kartor_geotiff/A 8362-2026 georefererad karta.tif", "A 8362-2026")</f>
        <v/>
      </c>
      <c r="AA10">
        <f>HYPERLINK("https://klasma.github.io/Logging_1272/klagomål/A 8362-2026 FSC-klagomål.docx", "A 8362-2026")</f>
        <v/>
      </c>
      <c r="AB10">
        <f>HYPERLINK("https://klasma.github.io/Logging_1272/klagomålsmail/A 8362-2026 FSC-klagomål mail.docx", "A 8362-2026")</f>
        <v/>
      </c>
      <c r="AC10">
        <f>HYPERLINK("https://klasma.github.io/Logging_1272/tillsyn/A 8362-2026 tillsynsbegäran.docx", "A 8362-2026")</f>
        <v/>
      </c>
      <c r="AD10">
        <f>HYPERLINK("https://klasma.github.io/Logging_1272/tillsynsmail/A 8362-2026 tillsynsbegäran mail.docx", "A 8362-2026")</f>
        <v/>
      </c>
    </row>
    <row r="11" ht="15" customHeight="1">
      <c r="A11" t="inlineStr">
        <is>
          <t>A 50118-2022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44860</v>
      </c>
      <c r="E11" s="1" t="n">
        <v>46242</v>
      </c>
      <c r="F11" t="inlineStr">
        <is>
          <t>SKÅNE LÄN</t>
        </is>
      </c>
      <c r="G11" t="inlineStr">
        <is>
          <t>BROMÖLLA</t>
        </is>
      </c>
      <c r="I11" t="n">
        <v>12.8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Myskmadra</t>
        </is>
      </c>
      <c r="W11">
        <f>HYPERLINK("https://klasma.github.io/Logging_1272/artfynd/A 50118-2022 artfynd.xlsx", "A 50118-2022")</f>
        <v/>
      </c>
      <c r="X11">
        <f>HYPERLINK("https://klasma.github.io/Logging_1272/kartor/A 50118-2022 karta.png", "A 50118-2022")</f>
        <v/>
      </c>
      <c r="Y11">
        <f>HYPERLINK("https://klasma.github.io/Logging_1272/kartor_geotiff/A 50118-2022 georefererad karta.tif", "A 50118-2022")</f>
        <v/>
      </c>
      <c r="AA11">
        <f>HYPERLINK("https://klasma.github.io/Logging_1272/klagomål/A 50118-2022 FSC-klagomål.docx", "A 50118-2022")</f>
        <v/>
      </c>
      <c r="AB11">
        <f>HYPERLINK("https://klasma.github.io/Logging_1272/klagomålsmail/A 50118-2022 FSC-klagomål mail.docx", "A 50118-2022")</f>
        <v/>
      </c>
      <c r="AC11">
        <f>HYPERLINK("https://klasma.github.io/Logging_1272/tillsyn/A 50118-2022 tillsynsbegäran.docx", "A 50118-2022")</f>
        <v/>
      </c>
      <c r="AD11">
        <f>HYPERLINK("https://klasma.github.io/Logging_1272/tillsynsmail/A 50118-2022 tillsynsbegäran mail.docx", "A 50118-2022")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46242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46242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17396-2024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45414</v>
      </c>
      <c r="E14" s="1" t="n">
        <v>46242</v>
      </c>
      <c r="F14" t="inlineStr">
        <is>
          <t>SKÅNE LÄN</t>
        </is>
      </c>
      <c r="G14" t="inlineStr">
        <is>
          <t>BROMÖLLA</t>
        </is>
      </c>
      <c r="I14" t="n">
        <v>1.8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Safsa</t>
        </is>
      </c>
      <c r="W14">
        <f>HYPERLINK("https://klasma.github.io/Logging_1272/artfynd/A 17396-2024 artfynd.xlsx", "A 17396-2024")</f>
        <v/>
      </c>
      <c r="X14">
        <f>HYPERLINK("https://klasma.github.io/Logging_1272/kartor/A 17396-2024 karta.png", "A 17396-2024")</f>
        <v/>
      </c>
      <c r="Y14">
        <f>HYPERLINK("https://klasma.github.io/Logging_1272/kartor_geotiff/A 17396-2024 georefererad karta.tif", "A 17396-2024")</f>
        <v/>
      </c>
      <c r="AA14">
        <f>HYPERLINK("https://klasma.github.io/Logging_1272/klagomål/A 17396-2024 FSC-klagomål.docx", "A 17396-2024")</f>
        <v/>
      </c>
      <c r="AB14">
        <f>HYPERLINK("https://klasma.github.io/Logging_1272/klagomålsmail/A 17396-2024 FSC-klagomål mail.docx", "A 17396-2024")</f>
        <v/>
      </c>
      <c r="AC14">
        <f>HYPERLINK("https://klasma.github.io/Logging_1272/tillsyn/A 17396-2024 tillsynsbegäran.docx", "A 17396-2024")</f>
        <v/>
      </c>
      <c r="AD14">
        <f>HYPERLINK("https://klasma.github.io/Logging_1272/tillsynsmail/A 17396-2024 tillsynsbegäran mail.docx", "A 17396-2024")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46242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46242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46242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46242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46242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46242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46242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46242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46242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46242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46242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46242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46242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46242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46242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46242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46242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46242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46242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46242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45674</v>
      </c>
      <c r="E35" s="1" t="n">
        <v>46242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21980-2023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46242</v>
      </c>
      <c r="F36" t="inlineStr">
        <is>
          <t>SKÅNE LÄN</t>
        </is>
      </c>
      <c r="G36" t="inlineStr">
        <is>
          <t>BROMÖLLA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39455-2024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45551</v>
      </c>
      <c r="E37" s="1" t="n">
        <v>46242</v>
      </c>
      <c r="F37" t="inlineStr">
        <is>
          <t>SKÅNE LÄN</t>
        </is>
      </c>
      <c r="G37" t="inlineStr">
        <is>
          <t>BROMÖLLA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46242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30112-2023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46242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45306</v>
      </c>
      <c r="E40" s="1" t="n">
        <v>46242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56056-2023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46242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42748-2022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46242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35804-2023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46242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46242</v>
      </c>
      <c r="F44" t="inlineStr">
        <is>
          <t>SKÅNE LÄN</t>
        </is>
      </c>
      <c r="G44" t="inlineStr">
        <is>
          <t>BROMÖLLA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12721-2023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45000</v>
      </c>
      <c r="E45" s="1" t="n">
        <v>46242</v>
      </c>
      <c r="F45" t="inlineStr">
        <is>
          <t>SKÅNE LÄN</t>
        </is>
      </c>
      <c r="G45" t="inlineStr">
        <is>
          <t>BROMÖLLA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46242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45300</v>
      </c>
      <c r="E47" s="1" t="n">
        <v>46242</v>
      </c>
      <c r="F47" t="inlineStr">
        <is>
          <t>SKÅNE LÄN</t>
        </is>
      </c>
      <c r="G47" t="inlineStr">
        <is>
          <t>BROMÖLLA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46242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44824</v>
      </c>
      <c r="E49" s="1" t="n">
        <v>46242</v>
      </c>
      <c r="F49" t="inlineStr">
        <is>
          <t>SKÅNE LÄN</t>
        </is>
      </c>
      <c r="G49" t="inlineStr">
        <is>
          <t>BROMÖLLA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46242</v>
      </c>
      <c r="F50" t="inlineStr">
        <is>
          <t>SKÅNE LÄN</t>
        </is>
      </c>
      <c r="G50" t="inlineStr">
        <is>
          <t>BROMÖLLA</t>
        </is>
      </c>
      <c r="I50" t="n">
        <v>5.6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46064</v>
      </c>
      <c r="E51" s="1" t="n">
        <v>46242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9508-2026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46242</v>
      </c>
      <c r="F52" t="inlineStr">
        <is>
          <t>SKÅNE LÄN</t>
        </is>
      </c>
      <c r="G52" t="inlineStr">
        <is>
          <t>BROMÖLLA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46242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31404-2025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45833</v>
      </c>
      <c r="E54" s="1" t="n">
        <v>46242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10275-2024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45365</v>
      </c>
      <c r="E55" s="1" t="n">
        <v>46242</v>
      </c>
      <c r="F55" t="inlineStr">
        <is>
          <t>SKÅNE LÄN</t>
        </is>
      </c>
      <c r="G55" t="inlineStr">
        <is>
          <t>BROMÖLLA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46242</v>
      </c>
      <c r="F56" t="inlineStr">
        <is>
          <t>SKÅNE LÄN</t>
        </is>
      </c>
      <c r="G56" t="inlineStr">
        <is>
          <t>BROMÖLLA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46242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34216-2023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45126</v>
      </c>
      <c r="E58" s="1" t="n">
        <v>46242</v>
      </c>
      <c r="F58" t="inlineStr">
        <is>
          <t>SKÅNE LÄN</t>
        </is>
      </c>
      <c r="G58" t="inlineStr">
        <is>
          <t>BROMÖLLA</t>
        </is>
      </c>
      <c r="H58" t="inlineStr">
        <is>
          <t>Kyrkan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35798-2023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46242</v>
      </c>
      <c r="F59" t="inlineStr">
        <is>
          <t>SKÅNE LÄN</t>
        </is>
      </c>
      <c r="G59" t="inlineStr">
        <is>
          <t>BROMÖLLA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45033</v>
      </c>
      <c r="E60" s="1" t="n">
        <v>46242</v>
      </c>
      <c r="F60" t="inlineStr">
        <is>
          <t>SKÅNE LÄN</t>
        </is>
      </c>
      <c r="G60" t="inlineStr">
        <is>
          <t>BROMÖLLA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55762-2025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46242</v>
      </c>
      <c r="F61" t="inlineStr">
        <is>
          <t>SKÅNE LÄN</t>
        </is>
      </c>
      <c r="G61" t="inlineStr">
        <is>
          <t>BROMÖLLA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28870-2023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46242</v>
      </c>
      <c r="F62" t="inlineStr">
        <is>
          <t>SKÅNE LÄN</t>
        </is>
      </c>
      <c r="G62" t="inlineStr">
        <is>
          <t>BROMÖLLA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45384</v>
      </c>
      <c r="E63" s="1" t="n">
        <v>46242</v>
      </c>
      <c r="F63" t="inlineStr">
        <is>
          <t>SKÅNE LÄN</t>
        </is>
      </c>
      <c r="G63" t="inlineStr">
        <is>
          <t>BROMÖLLA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32272-2024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45512</v>
      </c>
      <c r="E64" s="1" t="n">
        <v>46242</v>
      </c>
      <c r="F64" t="inlineStr">
        <is>
          <t>SKÅNE LÄN</t>
        </is>
      </c>
      <c r="G64" t="inlineStr">
        <is>
          <t>BROMÖLLA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51078-2025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45947</v>
      </c>
      <c r="E65" s="1" t="n">
        <v>46242</v>
      </c>
      <c r="F65" t="inlineStr">
        <is>
          <t>SKÅNE LÄN</t>
        </is>
      </c>
      <c r="G65" t="inlineStr">
        <is>
          <t>BROMÖLLA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45622</v>
      </c>
      <c r="E66" s="1" t="n">
        <v>46242</v>
      </c>
      <c r="F66" t="inlineStr">
        <is>
          <t>SKÅNE LÄN</t>
        </is>
      </c>
      <c r="G66" t="inlineStr">
        <is>
          <t>BROMÖLLA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60055-2025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45993</v>
      </c>
      <c r="E67" s="1" t="n">
        <v>46242</v>
      </c>
      <c r="F67" t="inlineStr">
        <is>
          <t>SKÅNE LÄN</t>
        </is>
      </c>
      <c r="G67" t="inlineStr">
        <is>
          <t>BROMÖLLA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46242</v>
      </c>
      <c r="F68" t="inlineStr">
        <is>
          <t>SKÅNE LÄN</t>
        </is>
      </c>
      <c r="G68" t="inlineStr">
        <is>
          <t>BROMÖLLA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45996</v>
      </c>
      <c r="E69" s="1" t="n">
        <v>46242</v>
      </c>
      <c r="F69" t="inlineStr">
        <is>
          <t>SKÅNE LÄN</t>
        </is>
      </c>
      <c r="G69" t="inlineStr">
        <is>
          <t>BROMÖLLA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46242</v>
      </c>
      <c r="F70" t="inlineStr">
        <is>
          <t>SKÅNE LÄN</t>
        </is>
      </c>
      <c r="G70" t="inlineStr">
        <is>
          <t>BROMÖLLA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45866</v>
      </c>
      <c r="E71" s="1" t="n">
        <v>46242</v>
      </c>
      <c r="F71" t="inlineStr">
        <is>
          <t>SKÅNE LÄN</t>
        </is>
      </c>
      <c r="G71" t="inlineStr">
        <is>
          <t>BROMÖLLA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20136-2026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46136</v>
      </c>
      <c r="E72" s="1" t="n">
        <v>46242</v>
      </c>
      <c r="F72" t="inlineStr">
        <is>
          <t>SKÅNE LÄN</t>
        </is>
      </c>
      <c r="G72" t="inlineStr">
        <is>
          <t>BROMÖLLA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39284-2025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45889</v>
      </c>
      <c r="E73" s="1" t="n">
        <v>46242</v>
      </c>
      <c r="F73" t="inlineStr">
        <is>
          <t>SKÅNE LÄN</t>
        </is>
      </c>
      <c r="G73" t="inlineStr">
        <is>
          <t>BROMÖLLA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57181-2024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46242</v>
      </c>
      <c r="F74" t="inlineStr">
        <is>
          <t>SKÅNE LÄN</t>
        </is>
      </c>
      <c r="G74" t="inlineStr">
        <is>
          <t>BROMÖLLA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27965-2025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45817</v>
      </c>
      <c r="E75" s="1" t="n">
        <v>46242</v>
      </c>
      <c r="F75" t="inlineStr">
        <is>
          <t>SKÅNE LÄN</t>
        </is>
      </c>
      <c r="G75" t="inlineStr">
        <is>
          <t>BROMÖLLA</t>
        </is>
      </c>
      <c r="I75" t="n">
        <v>12.7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46242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46242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46242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44804</v>
      </c>
      <c r="E79" s="1" t="n">
        <v>46242</v>
      </c>
      <c r="F79" t="inlineStr">
        <is>
          <t>SKÅNE LÄN</t>
        </is>
      </c>
      <c r="G79" t="inlineStr">
        <is>
          <t>BROMÖLLA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46242</v>
      </c>
      <c r="F80" t="inlineStr">
        <is>
          <t>SKÅNE LÄN</t>
        </is>
      </c>
      <c r="G80" t="inlineStr">
        <is>
          <t>BROMÖLLA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46242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46242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45299</v>
      </c>
      <c r="E83" s="1" t="n">
        <v>46242</v>
      </c>
      <c r="F83" t="inlineStr">
        <is>
          <t>SKÅNE LÄN</t>
        </is>
      </c>
      <c r="G83" t="inlineStr">
        <is>
          <t>BROMÖLLA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31810-2026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46230</v>
      </c>
      <c r="E84" s="1" t="n">
        <v>46242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46242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45243</v>
      </c>
      <c r="E86" s="1" t="n">
        <v>46242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43647-2021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44433</v>
      </c>
      <c r="E87" s="1" t="n">
        <v>46242</v>
      </c>
      <c r="F87" t="inlineStr">
        <is>
          <t>SKÅNE LÄN</t>
        </is>
      </c>
      <c r="G87" t="inlineStr">
        <is>
          <t>BROMÖLLA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44993</v>
      </c>
      <c r="E88" s="1" t="n">
        <v>46242</v>
      </c>
      <c r="F88" t="inlineStr">
        <is>
          <t>SKÅNE LÄN</t>
        </is>
      </c>
      <c r="G88" t="inlineStr">
        <is>
          <t>BROMÖLLA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52307-2023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45217</v>
      </c>
      <c r="E89" s="1" t="n">
        <v>46242</v>
      </c>
      <c r="F89" t="inlineStr">
        <is>
          <t>SKÅNE LÄN</t>
        </is>
      </c>
      <c r="G89" t="inlineStr">
        <is>
          <t>BROMÖLLA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46242</v>
      </c>
      <c r="F90" t="inlineStr">
        <is>
          <t>SKÅNE LÄN</t>
        </is>
      </c>
      <c r="G90" t="inlineStr">
        <is>
          <t>BROMÖLLA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28129-2026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46242</v>
      </c>
      <c r="F91" t="inlineStr">
        <is>
          <t>SKÅNE LÄN</t>
        </is>
      </c>
      <c r="G91" t="inlineStr">
        <is>
          <t>BROMÖLLA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45566</v>
      </c>
      <c r="E92" s="1" t="n">
        <v>46242</v>
      </c>
      <c r="F92" t="inlineStr">
        <is>
          <t>SKÅNE LÄN</t>
        </is>
      </c>
      <c r="G92" t="inlineStr">
        <is>
          <t>BROMÖLLA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35802-2023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45148</v>
      </c>
      <c r="E93" s="1" t="n">
        <v>46242</v>
      </c>
      <c r="F93" t="inlineStr">
        <is>
          <t>SKÅNE LÄN</t>
        </is>
      </c>
      <c r="G93" t="inlineStr">
        <is>
          <t>BROMÖLLA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46242</v>
      </c>
      <c r="F94" t="inlineStr">
        <is>
          <t>SKÅNE LÄN</t>
        </is>
      </c>
      <c r="G94" t="inlineStr">
        <is>
          <t>BROMÖLLA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31649-2023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45117</v>
      </c>
      <c r="E95" s="1" t="n">
        <v>46242</v>
      </c>
      <c r="F95" t="inlineStr">
        <is>
          <t>SKÅNE LÄN</t>
        </is>
      </c>
      <c r="G95" t="inlineStr">
        <is>
          <t>BROMÖLLA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45127</v>
      </c>
      <c r="E96" s="1" t="n">
        <v>46242</v>
      </c>
      <c r="F96" t="inlineStr">
        <is>
          <t>SKÅNE LÄN</t>
        </is>
      </c>
      <c r="G96" t="inlineStr">
        <is>
          <t>BROMÖLLA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45174</v>
      </c>
      <c r="E97" s="1" t="n">
        <v>46242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46242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46242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46242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46242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46242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46242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46242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46242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46242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46242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46242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46242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46242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46242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46242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46242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46242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46242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46242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46242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46242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46242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46242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46242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46242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46242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2026-08-08T01:52:34Z</dcterms:created>
  <dcterms:modified xmlns:dcterms="http://purl.org/dc/terms/" xmlns:xsi="http://www.w3.org/2001/XMLSchema-instance" xsi:type="dcterms:W3CDTF">2026-08-08T01:52:34Z</dcterms:modified>
</cp:coreProperties>
</file>