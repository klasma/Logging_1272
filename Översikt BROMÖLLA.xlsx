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46218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V2">
        <f>HYPERLINK("https://klasma.github.io/Logging_1272/artfynd/S 9703-2021 artfynd.xlsx", "S 9703-2021")</f>
        <v/>
      </c>
      <c r="W2">
        <f>HYPERLINK("https://klasma.github.io/Logging_1272/kartor/S 9703-2021 karta.png", "S 9703-2021")</f>
        <v/>
      </c>
      <c r="Y2">
        <f>HYPERLINK("https://klasma.github.io/Logging_1272/klagomål/S 9703-2021 FSC-klagomål.docx", "S 9703-2021")</f>
        <v/>
      </c>
      <c r="Z2">
        <f>HYPERLINK("https://klasma.github.io/Logging_1272/klagomålsmail/S 9703-2021 FSC-klagomål mail.docx", "S 9703-2021")</f>
        <v/>
      </c>
      <c r="AA2">
        <f>HYPERLINK("https://klasma.github.io/Logging_1272/tillsyn/S 9703-2021 tillsynsbegäran.docx", "S 9703-2021")</f>
        <v/>
      </c>
      <c r="AB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46218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s="2" t="inlineStr">
        <is>
          <t>Igelkott
Bokvårtlav
Havstulpanlav
Myskmadra
Skogsbräsma
Stor häxört
Grönvit nattviol</t>
        </is>
      </c>
      <c r="V3">
        <f>HYPERLINK("https://klasma.github.io/Logging_1272/artfynd/S 1066-2026 artfynd.xlsx", "S 1066-2026")</f>
        <v/>
      </c>
      <c r="W3">
        <f>HYPERLINK("https://klasma.github.io/Logging_1272/kartor/S 1066-2026 karta.png", "S 1066-2026")</f>
        <v/>
      </c>
      <c r="Y3">
        <f>HYPERLINK("https://klasma.github.io/Logging_1272/klagomål/S 1066-2026 FSC-klagomål.docx", "S 1066-2026")</f>
        <v/>
      </c>
      <c r="Z3">
        <f>HYPERLINK("https://klasma.github.io/Logging_1272/klagomålsmail/S 1066-2026 FSC-klagomål mail.docx", "S 1066-2026")</f>
        <v/>
      </c>
      <c r="AA3">
        <f>HYPERLINK("https://klasma.github.io/Logging_1272/tillsyn/S 1066-2026 tillsynsbegäran.docx", "S 1066-2026")</f>
        <v/>
      </c>
      <c r="AB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46218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s="2" t="inlineStr">
        <is>
          <t>Ekskinn
Havstulpanlav
Rostfläck
Västlig hakmossa</t>
        </is>
      </c>
      <c r="V4">
        <f>HYPERLINK("https://klasma.github.io/Logging_1272/artfynd/A 42062-2024 artfynd.xlsx", "A 42062-2024")</f>
        <v/>
      </c>
      <c r="W4">
        <f>HYPERLINK("https://klasma.github.io/Logging_1272/kartor/A 42062-2024 karta.png", "A 42062-2024")</f>
        <v/>
      </c>
      <c r="Y4">
        <f>HYPERLINK("https://klasma.github.io/Logging_1272/klagomål/A 42062-2024 FSC-klagomål.docx", "A 42062-2024")</f>
        <v/>
      </c>
      <c r="Z4">
        <f>HYPERLINK("https://klasma.github.io/Logging_1272/klagomålsmail/A 42062-2024 FSC-klagomål mail.docx", "A 42062-2024")</f>
        <v/>
      </c>
      <c r="AA4">
        <f>HYPERLINK("https://klasma.github.io/Logging_1272/tillsyn/A 42062-2024 tillsynsbegäran.docx", "A 42062-2024")</f>
        <v/>
      </c>
      <c r="AB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46218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s="2" t="inlineStr">
        <is>
          <t>Ask
Dvärgjohannesört
Hässleklocka
Revlummer</t>
        </is>
      </c>
      <c r="V5">
        <f>HYPERLINK("https://klasma.github.io/Logging_1272/artfynd/S 178-2025 artfynd.xlsx", "S 178-2025")</f>
        <v/>
      </c>
      <c r="W5">
        <f>HYPERLINK("https://klasma.github.io/Logging_1272/kartor/S 178-2025 karta.png", "S 178-2025")</f>
        <v/>
      </c>
      <c r="Y5">
        <f>HYPERLINK("https://klasma.github.io/Logging_1272/klagomål/S 178-2025 FSC-klagomål.docx", "S 178-2025")</f>
        <v/>
      </c>
      <c r="Z5">
        <f>HYPERLINK("https://klasma.github.io/Logging_1272/klagomålsmail/S 178-2025 FSC-klagomål mail.docx", "S 178-2025")</f>
        <v/>
      </c>
      <c r="AA5">
        <f>HYPERLINK("https://klasma.github.io/Logging_1272/tillsyn/S 178-2025 tillsynsbegäran.docx", "S 178-2025")</f>
        <v/>
      </c>
      <c r="AB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46218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s="2" t="inlineStr">
        <is>
          <t>Stor häxört
Svart trolldruva
Underviol</t>
        </is>
      </c>
      <c r="V6">
        <f>HYPERLINK("https://klasma.github.io/Logging_1272/artfynd/A 7554-2023 artfynd.xlsx", "A 7554-2023")</f>
        <v/>
      </c>
      <c r="W6">
        <f>HYPERLINK("https://klasma.github.io/Logging_1272/kartor/A 7554-2023 karta.png", "A 7554-2023")</f>
        <v/>
      </c>
      <c r="Y6">
        <f>HYPERLINK("https://klasma.github.io/Logging_1272/klagomål/A 7554-2023 FSC-klagomål.docx", "A 7554-2023")</f>
        <v/>
      </c>
      <c r="Z6">
        <f>HYPERLINK("https://klasma.github.io/Logging_1272/klagomålsmail/A 7554-2023 FSC-klagomål mail.docx", "A 7554-2023")</f>
        <v/>
      </c>
      <c r="AA6">
        <f>HYPERLINK("https://klasma.github.io/Logging_1272/tillsyn/A 7554-2023 tillsynsbegäran.docx", "A 7554-2023")</f>
        <v/>
      </c>
      <c r="AB6">
        <f>HYPERLINK("https://klasma.github.io/Logging_1272/tillsynsmail/A 7554-2023 tillsynsbegäran mail.docx", "A 7554-2023")</f>
        <v/>
      </c>
    </row>
    <row r="7" ht="15" customHeight="1">
      <c r="A7" t="inlineStr">
        <is>
          <t>S 168-2025</t>
        </is>
      </c>
      <c r="B7" t="inlineStr">
        <is>
          <t>samrådsanmälan</t>
        </is>
      </c>
      <c r="C7" t="inlineStr">
        <is>
          <t>Askåterföring</t>
        </is>
      </c>
      <c r="D7" s="1" t="n">
        <v>45677</v>
      </c>
      <c r="E7" s="1" t="n">
        <v>46218</v>
      </c>
      <c r="F7" t="inlineStr">
        <is>
          <t>SKÅNE LÄN</t>
        </is>
      </c>
      <c r="G7" t="inlineStr">
        <is>
          <t>BROMÖLLA</t>
        </is>
      </c>
      <c r="I7" t="n">
        <v>3.6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s="2" t="inlineStr">
        <is>
          <t>Mindre hackspett
Spillkråka</t>
        </is>
      </c>
      <c r="V7">
        <f>HYPERLINK("https://klasma.github.io/Logging_1272/artfynd/S 168-2025 artfynd.xlsx", "S 168-2025")</f>
        <v/>
      </c>
      <c r="W7">
        <f>HYPERLINK("https://klasma.github.io/Logging_1272/kartor/S 168-2025 karta.png", "S 168-2025")</f>
        <v/>
      </c>
      <c r="Y7">
        <f>HYPERLINK("https://klasma.github.io/Logging_1272/klagomål/S 168-2025 FSC-klagomål.docx", "S 168-2025")</f>
        <v/>
      </c>
      <c r="Z7">
        <f>HYPERLINK("https://klasma.github.io/Logging_1272/klagomålsmail/S 168-2025 FSC-klagomål mail.docx", "S 168-2025")</f>
        <v/>
      </c>
      <c r="AA7">
        <f>HYPERLINK("https://klasma.github.io/Logging_1272/tillsyn/S 168-2025 tillsynsbegäran.docx", "S 168-2025")</f>
        <v/>
      </c>
      <c r="AB7">
        <f>HYPERLINK("https://klasma.github.io/Logging_1272/tillsynsmail/S 168-2025 tillsynsbegäran mail.docx", "S 168-2025")</f>
        <v/>
      </c>
      <c r="AC7">
        <f>HYPERLINK("https://klasma.github.io/Logging_1272/fåglar/S 168-2025 prioriterade fågelarter.docx", "S 168-2025")</f>
        <v/>
      </c>
    </row>
    <row r="8" ht="15" customHeight="1">
      <c r="A8" t="inlineStr">
        <is>
          <t>S 1328-2025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45770</v>
      </c>
      <c r="E8" s="1" t="n">
        <v>46218</v>
      </c>
      <c r="F8" t="inlineStr">
        <is>
          <t>SKÅNE LÄN</t>
        </is>
      </c>
      <c r="G8" t="inlineStr">
        <is>
          <t>BROMÖLLA</t>
        </is>
      </c>
      <c r="I8" t="n">
        <v>27.2</v>
      </c>
      <c r="J8" t="n">
        <v>1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3</v>
      </c>
      <c r="U8" s="2" t="inlineStr">
        <is>
          <t>Bivråk
Luddfingerört</t>
        </is>
      </c>
      <c r="V8">
        <f>HYPERLINK("https://klasma.github.io/Logging_1272/artfynd/S 1328-2025 artfynd.xlsx", "S 1328-2025")</f>
        <v/>
      </c>
      <c r="W8">
        <f>HYPERLINK("https://klasma.github.io/Logging_1272/kartor/S 1328-2025 karta.png", "S 1328-2025")</f>
        <v/>
      </c>
      <c r="Y8">
        <f>HYPERLINK("https://klasma.github.io/Logging_1272/klagomål/S 1328-2025 FSC-klagomål.docx", "S 1328-2025")</f>
        <v/>
      </c>
      <c r="Z8">
        <f>HYPERLINK("https://klasma.github.io/Logging_1272/klagomålsmail/S 1328-2025 FSC-klagomål mail.docx", "S 1328-2025")</f>
        <v/>
      </c>
      <c r="AA8">
        <f>HYPERLINK("https://klasma.github.io/Logging_1272/tillsyn/S 1328-2025 tillsynsbegäran.docx", "S 1328-2025")</f>
        <v/>
      </c>
      <c r="AB8">
        <f>HYPERLINK("https://klasma.github.io/Logging_1272/tillsynsmail/S 1328-2025 tillsynsbegäran mail.docx", "S 1328-2025")</f>
        <v/>
      </c>
      <c r="AC8">
        <f>HYPERLINK("https://klasma.github.io/Logging_1272/fåglar/S 1328-2025 prioriterade fågelarter.docx", "S 1328-2025")</f>
        <v/>
      </c>
    </row>
    <row r="9" ht="15" customHeight="1">
      <c r="A9" t="inlineStr">
        <is>
          <t>A 50118-2022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44860</v>
      </c>
      <c r="E9" s="1" t="n">
        <v>46218</v>
      </c>
      <c r="F9" t="inlineStr">
        <is>
          <t>SKÅNE LÄN</t>
        </is>
      </c>
      <c r="G9" t="inlineStr">
        <is>
          <t>BROMÖLLA</t>
        </is>
      </c>
      <c r="I9" t="n">
        <v>12.8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Myskmadra</t>
        </is>
      </c>
      <c r="V9">
        <f>HYPERLINK("https://klasma.github.io/Logging_1272/artfynd/A 50118-2022 artfynd.xlsx", "A 50118-2022")</f>
        <v/>
      </c>
      <c r="W9">
        <f>HYPERLINK("https://klasma.github.io/Logging_1272/kartor/A 50118-2022 karta.png", "A 50118-2022")</f>
        <v/>
      </c>
      <c r="Y9">
        <f>HYPERLINK("https://klasma.github.io/Logging_1272/klagomål/A 50118-2022 FSC-klagomål.docx", "A 50118-2022")</f>
        <v/>
      </c>
      <c r="Z9">
        <f>HYPERLINK("https://klasma.github.io/Logging_1272/klagomålsmail/A 50118-2022 FSC-klagomål mail.docx", "A 50118-2022")</f>
        <v/>
      </c>
      <c r="AA9">
        <f>HYPERLINK("https://klasma.github.io/Logging_1272/tillsyn/A 50118-2022 tillsynsbegäran.docx", "A 50118-2022")</f>
        <v/>
      </c>
      <c r="AB9">
        <f>HYPERLINK("https://klasma.github.io/Logging_1272/tillsynsmail/A 50118-2022 tillsynsbegäran mail.docx", "A 50118-2022")</f>
        <v/>
      </c>
    </row>
    <row r="10" ht="15" customHeight="1">
      <c r="A10" t="inlineStr">
        <is>
          <t>A 17396-2024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45414</v>
      </c>
      <c r="E10" s="1" t="n">
        <v>46218</v>
      </c>
      <c r="F10" t="inlineStr">
        <is>
          <t>SKÅNE LÄN</t>
        </is>
      </c>
      <c r="G10" t="inlineStr">
        <is>
          <t>BROMÖLLA</t>
        </is>
      </c>
      <c r="I10" t="n">
        <v>1.8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Safsa</t>
        </is>
      </c>
      <c r="V10">
        <f>HYPERLINK("https://klasma.github.io/Logging_1272/artfynd/A 17396-2024 artfynd.xlsx", "A 17396-2024")</f>
        <v/>
      </c>
      <c r="W10">
        <f>HYPERLINK("https://klasma.github.io/Logging_1272/kartor/A 17396-2024 karta.png", "A 17396-2024")</f>
        <v/>
      </c>
      <c r="Y10">
        <f>HYPERLINK("https://klasma.github.io/Logging_1272/klagomål/A 17396-2024 FSC-klagomål.docx", "A 17396-2024")</f>
        <v/>
      </c>
      <c r="Z10">
        <f>HYPERLINK("https://klasma.github.io/Logging_1272/klagomålsmail/A 17396-2024 FSC-klagomål mail.docx", "A 17396-2024")</f>
        <v/>
      </c>
      <c r="AA10">
        <f>HYPERLINK("https://klasma.github.io/Logging_1272/tillsyn/A 17396-2024 tillsynsbegäran.docx", "A 17396-2024")</f>
        <v/>
      </c>
      <c r="AB10">
        <f>HYPERLINK("https://klasma.github.io/Logging_1272/tillsynsmail/A 17396-2024 tillsynsbegäran mail.docx", "A 17396-2024")</f>
        <v/>
      </c>
    </row>
    <row r="11" ht="15" customHeight="1">
      <c r="A11" t="inlineStr">
        <is>
          <t>A 24688-2025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45798</v>
      </c>
      <c r="E11" s="1" t="n">
        <v>46218</v>
      </c>
      <c r="F11" t="inlineStr">
        <is>
          <t>SKÅNE LÄN</t>
        </is>
      </c>
      <c r="G11" t="inlineStr">
        <is>
          <t>BROMÖLLA</t>
        </is>
      </c>
      <c r="I11" t="n">
        <v>1.6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Järnsparv</t>
        </is>
      </c>
      <c r="V11">
        <f>HYPERLINK("https://klasma.github.io/Logging_1272/artfynd/A 24688-2025 artfynd.xlsx", "A 24688-2025")</f>
        <v/>
      </c>
      <c r="W11">
        <f>HYPERLINK("https://klasma.github.io/Logging_1272/kartor/A 24688-2025 karta.png", "A 24688-2025")</f>
        <v/>
      </c>
      <c r="Y11">
        <f>HYPERLINK("https://klasma.github.io/Logging_1272/klagomål/A 24688-2025 FSC-klagomål.docx", "A 24688-2025")</f>
        <v/>
      </c>
      <c r="Z11">
        <f>HYPERLINK("https://klasma.github.io/Logging_1272/klagomålsmail/A 24688-2025 FSC-klagomål mail.docx", "A 24688-2025")</f>
        <v/>
      </c>
      <c r="AA11">
        <f>HYPERLINK("https://klasma.github.io/Logging_1272/tillsyn/A 24688-2025 tillsynsbegäran.docx", "A 24688-2025")</f>
        <v/>
      </c>
      <c r="AB11">
        <f>HYPERLINK("https://klasma.github.io/Logging_1272/tillsynsmail/A 24688-2025 tillsynsbegäran mail.docx", "A 24688-2025")</f>
        <v/>
      </c>
      <c r="AC11">
        <f>HYPERLINK("https://klasma.github.io/Logging_1272/fåglar/A 24688-2025 prioriterade fågelarter.docx", "A 24688-2025")</f>
        <v/>
      </c>
    </row>
    <row r="12" ht="15" customHeight="1">
      <c r="A12" t="inlineStr">
        <is>
          <t>A 20426-2023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45056</v>
      </c>
      <c r="E12" s="1" t="n">
        <v>46218</v>
      </c>
      <c r="F12" t="inlineStr">
        <is>
          <t>SKÅNE LÄN</t>
        </is>
      </c>
      <c r="G12" t="inlineStr">
        <is>
          <t>BROMÖLLA</t>
        </is>
      </c>
      <c r="I12" t="n">
        <v>5.2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s="2" t="inlineStr">
        <is>
          <t>Hålnunneört</t>
        </is>
      </c>
      <c r="V12">
        <f>HYPERLINK("https://klasma.github.io/Logging_1272/artfynd/A 20426-2023 artfynd.xlsx", "A 20426-2023")</f>
        <v/>
      </c>
      <c r="W12">
        <f>HYPERLINK("https://klasma.github.io/Logging_1272/kartor/A 20426-2023 karta.png", "A 20426-2023")</f>
        <v/>
      </c>
      <c r="Y12">
        <f>HYPERLINK("https://klasma.github.io/Logging_1272/klagomål/A 20426-2023 FSC-klagomål.docx", "A 20426-2023")</f>
        <v/>
      </c>
      <c r="Z12">
        <f>HYPERLINK("https://klasma.github.io/Logging_1272/klagomålsmail/A 20426-2023 FSC-klagomål mail.docx", "A 20426-2023")</f>
        <v/>
      </c>
      <c r="AA12">
        <f>HYPERLINK("https://klasma.github.io/Logging_1272/tillsyn/A 20426-2023 tillsynsbegäran.docx", "A 20426-2023")</f>
        <v/>
      </c>
      <c r="AB12">
        <f>HYPERLINK("https://klasma.github.io/Logging_1272/tillsynsmail/A 20426-2023 tillsynsbegäran mail.docx", "A 20426-2023")</f>
        <v/>
      </c>
    </row>
    <row r="13" ht="15" customHeight="1">
      <c r="A13" t="inlineStr">
        <is>
          <t>A 35397-2025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45854</v>
      </c>
      <c r="E13" s="1" t="n">
        <v>46218</v>
      </c>
      <c r="F13" t="inlineStr">
        <is>
          <t>SKÅNE LÄN</t>
        </is>
      </c>
      <c r="G13" t="inlineStr">
        <is>
          <t>BROMÖLLA</t>
        </is>
      </c>
      <c r="I13" t="n">
        <v>8.4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Skogsbräsma</t>
        </is>
      </c>
      <c r="V13">
        <f>HYPERLINK("https://klasma.github.io/Logging_1272/artfynd/A 35397-2025 artfynd.xlsx", "A 35397-2025")</f>
        <v/>
      </c>
      <c r="W13">
        <f>HYPERLINK("https://klasma.github.io/Logging_1272/kartor/A 35397-2025 karta.png", "A 35397-2025")</f>
        <v/>
      </c>
      <c r="Y13">
        <f>HYPERLINK("https://klasma.github.io/Logging_1272/klagomål/A 35397-2025 FSC-klagomål.docx", "A 35397-2025")</f>
        <v/>
      </c>
      <c r="Z13">
        <f>HYPERLINK("https://klasma.github.io/Logging_1272/klagomålsmail/A 35397-2025 FSC-klagomål mail.docx", "A 35397-2025")</f>
        <v/>
      </c>
      <c r="AA13">
        <f>HYPERLINK("https://klasma.github.io/Logging_1272/tillsyn/A 35397-2025 tillsynsbegäran.docx", "A 35397-2025")</f>
        <v/>
      </c>
      <c r="AB13">
        <f>HYPERLINK("https://klasma.github.io/Logging_1272/tillsynsmail/A 35397-2025 tillsynsbegäran mail.docx", "A 35397-2025")</f>
        <v/>
      </c>
    </row>
    <row r="14" ht="15" customHeight="1">
      <c r="A14" t="inlineStr">
        <is>
          <t>A 52972-2023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45222</v>
      </c>
      <c r="E14" s="1" t="n">
        <v>46218</v>
      </c>
      <c r="F14" t="inlineStr">
        <is>
          <t>SKÅNE LÄN</t>
        </is>
      </c>
      <c r="G14" t="inlineStr">
        <is>
          <t>BROMÖLLA</t>
        </is>
      </c>
      <c r="I14" t="n">
        <v>6.4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Revlummer</t>
        </is>
      </c>
      <c r="V14">
        <f>HYPERLINK("https://klasma.github.io/Logging_1272/artfynd/A 52972-2023 artfynd.xlsx", "A 52972-2023")</f>
        <v/>
      </c>
      <c r="W14">
        <f>HYPERLINK("https://klasma.github.io/Logging_1272/kartor/A 52972-2023 karta.png", "A 52972-2023")</f>
        <v/>
      </c>
      <c r="Y14">
        <f>HYPERLINK("https://klasma.github.io/Logging_1272/klagomål/A 52972-2023 FSC-klagomål.docx", "A 52972-2023")</f>
        <v/>
      </c>
      <c r="Z14">
        <f>HYPERLINK("https://klasma.github.io/Logging_1272/klagomålsmail/A 52972-2023 FSC-klagomål mail.docx", "A 52972-2023")</f>
        <v/>
      </c>
      <c r="AA14">
        <f>HYPERLINK("https://klasma.github.io/Logging_1272/tillsyn/A 52972-2023 tillsynsbegäran.docx", "A 52972-2023")</f>
        <v/>
      </c>
      <c r="AB14">
        <f>HYPERLINK("https://klasma.github.io/Logging_1272/tillsynsmail/A 52972-2023 tillsynsbegäran mail.docx", "A 52972-2023")</f>
        <v/>
      </c>
    </row>
    <row r="15" ht="15" customHeight="1">
      <c r="A15" t="inlineStr">
        <is>
          <t>A 8362-2026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46064</v>
      </c>
      <c r="E15" s="1" t="n">
        <v>46218</v>
      </c>
      <c r="F15" t="inlineStr">
        <is>
          <t>SKÅNE LÄN</t>
        </is>
      </c>
      <c r="G15" t="inlineStr">
        <is>
          <t>BROMÖLLA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Rödlånke</t>
        </is>
      </c>
      <c r="V15">
        <f>HYPERLINK("https://klasma.github.io/Logging_1272/artfynd/A 8362-2026 artfynd.xlsx", "A 8362-2026")</f>
        <v/>
      </c>
      <c r="W15">
        <f>HYPERLINK("https://klasma.github.io/Logging_1272/kartor/A 8362-2026 karta.png", "A 8362-2026")</f>
        <v/>
      </c>
      <c r="Y15">
        <f>HYPERLINK("https://klasma.github.io/Logging_1272/klagomål/A 8362-2026 FSC-klagomål.docx", "A 8362-2026")</f>
        <v/>
      </c>
      <c r="Z15">
        <f>HYPERLINK("https://klasma.github.io/Logging_1272/klagomålsmail/A 8362-2026 FSC-klagomål mail.docx", "A 8362-2026")</f>
        <v/>
      </c>
      <c r="AA15">
        <f>HYPERLINK("https://klasma.github.io/Logging_1272/tillsyn/A 8362-2026 tillsynsbegäran.docx", "A 8362-2026")</f>
        <v/>
      </c>
      <c r="AB15">
        <f>HYPERLINK("https://klasma.github.io/Logging_1272/tillsynsmail/A 8362-2026 tillsynsbegäran mail.docx", "A 8362-2026")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46218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Sminkrot</t>
        </is>
      </c>
      <c r="V16">
        <f>HYPERLINK("https://klasma.github.io/Logging_1272/artfynd/A 17522-2026 artfynd.xlsx", "A 17522-2026")</f>
        <v/>
      </c>
      <c r="W16">
        <f>HYPERLINK("https://klasma.github.io/Logging_1272/kartor/A 17522-2026 karta.png", "A 17522-2026")</f>
        <v/>
      </c>
      <c r="Y16">
        <f>HYPERLINK("https://klasma.github.io/Logging_1272/klagomål/A 17522-2026 FSC-klagomål.docx", "A 17522-2026")</f>
        <v/>
      </c>
      <c r="Z16">
        <f>HYPERLINK("https://klasma.github.io/Logging_1272/klagomålsmail/A 17522-2026 FSC-klagomål mail.docx", "A 17522-2026")</f>
        <v/>
      </c>
      <c r="AA16">
        <f>HYPERLINK("https://klasma.github.io/Logging_1272/tillsyn/A 17522-2026 tillsynsbegäran.docx", "A 17522-2026")</f>
        <v/>
      </c>
      <c r="AB16">
        <f>HYPERLINK("https://klasma.github.io/Logging_1272/tillsynsmail/A 17522-2026 tillsynsbegäran mail.docx", "A 17522-2026")</f>
        <v/>
      </c>
    </row>
    <row r="17" ht="15" customHeight="1">
      <c r="A17" t="inlineStr">
        <is>
          <t>S 4458-2023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45271</v>
      </c>
      <c r="E17" s="1" t="n">
        <v>46218</v>
      </c>
      <c r="F17" t="inlineStr">
        <is>
          <t>SKÅNE LÄN</t>
        </is>
      </c>
      <c r="G17" t="inlineStr">
        <is>
          <t>BROMÖLLA</t>
        </is>
      </c>
      <c r="I17" t="n">
        <v>62.9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s="2" t="inlineStr">
        <is>
          <t>Lundbräsma</t>
        </is>
      </c>
      <c r="V17">
        <f>HYPERLINK("https://klasma.github.io/Logging_1272/artfynd/S 4458-2023 artfynd.xlsx", "S 4458-2023")</f>
        <v/>
      </c>
      <c r="W17">
        <f>HYPERLINK("https://klasma.github.io/Logging_1272/kartor/S 4458-2023 karta.png", "S 4458-2023")</f>
        <v/>
      </c>
      <c r="Y17">
        <f>HYPERLINK("https://klasma.github.io/Logging_1272/klagomål/S 4458-2023 FSC-klagomål.docx", "S 4458-2023")</f>
        <v/>
      </c>
      <c r="Z17">
        <f>HYPERLINK("https://klasma.github.io/Logging_1272/klagomålsmail/S 4458-2023 FSC-klagomål mail.docx", "S 4458-2023")</f>
        <v/>
      </c>
      <c r="AA17">
        <f>HYPERLINK("https://klasma.github.io/Logging_1272/tillsyn/S 4458-2023 tillsynsbegäran.docx", "S 4458-2023")</f>
        <v/>
      </c>
      <c r="AB17">
        <f>HYPERLINK("https://klasma.github.io/Logging_1272/tillsynsmail/S 4458-2023 tillsynsbegäran mail.docx", "S 4458-2023")</f>
        <v/>
      </c>
    </row>
    <row r="18" ht="15" customHeight="1">
      <c r="A18" t="inlineStr">
        <is>
          <t>S 172-2025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45677</v>
      </c>
      <c r="E18" s="1" t="n">
        <v>46218</v>
      </c>
      <c r="F18" t="inlineStr">
        <is>
          <t>SKÅNE LÄN</t>
        </is>
      </c>
      <c r="G18" t="inlineStr">
        <is>
          <t>BROMÖLLA</t>
        </is>
      </c>
      <c r="I18" t="n">
        <v>63.4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Nattskärra</t>
        </is>
      </c>
      <c r="V18">
        <f>HYPERLINK("https://klasma.github.io/Logging_1272/artfynd/S 172-2025 artfynd.xlsx", "S 172-2025")</f>
        <v/>
      </c>
      <c r="W18">
        <f>HYPERLINK("https://klasma.github.io/Logging_1272/kartor/S 172-2025 karta.png", "S 172-2025")</f>
        <v/>
      </c>
      <c r="Y18">
        <f>HYPERLINK("https://klasma.github.io/Logging_1272/klagomål/S 172-2025 FSC-klagomål.docx", "S 172-2025")</f>
        <v/>
      </c>
      <c r="Z18">
        <f>HYPERLINK("https://klasma.github.io/Logging_1272/klagomålsmail/S 172-2025 FSC-klagomål mail.docx", "S 172-2025")</f>
        <v/>
      </c>
      <c r="AA18">
        <f>HYPERLINK("https://klasma.github.io/Logging_1272/tillsyn/S 172-2025 tillsynsbegäran.docx", "S 172-2025")</f>
        <v/>
      </c>
      <c r="AB18">
        <f>HYPERLINK("https://klasma.github.io/Logging_1272/tillsynsmail/S 172-2025 tillsynsbegäran mail.docx", "S 172-2025")</f>
        <v/>
      </c>
      <c r="AC18">
        <f>HYPERLINK("https://klasma.github.io/Logging_1272/fåglar/S 172-2025 prioriterade fågelarter.docx", "S 172-2025")</f>
        <v/>
      </c>
    </row>
    <row r="19" ht="15" customHeight="1">
      <c r="A19" t="inlineStr">
        <is>
          <t>S 4679-2022</t>
        </is>
      </c>
      <c r="B19" t="inlineStr">
        <is>
          <t>samrådsanmälan</t>
        </is>
      </c>
      <c r="C19" t="inlineStr">
        <is>
          <t>Askåterföring</t>
        </is>
      </c>
      <c r="D19" s="1" t="n">
        <v>44796</v>
      </c>
      <c r="E19" s="1" t="n">
        <v>46218</v>
      </c>
      <c r="F19" t="inlineStr">
        <is>
          <t>SKÅNE LÄN</t>
        </is>
      </c>
      <c r="G19" t="inlineStr">
        <is>
          <t>BROMÖLLA</t>
        </is>
      </c>
      <c r="I19" t="n">
        <v>79.90000000000001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Lamellsnäcka</t>
        </is>
      </c>
      <c r="V19">
        <f>HYPERLINK("https://klasma.github.io/Logging_1272/artfynd/S 4679-2022 artfynd.xlsx", "S 4679-2022")</f>
        <v/>
      </c>
      <c r="W19">
        <f>HYPERLINK("https://klasma.github.io/Logging_1272/kartor/S 4679-2022 karta.png", "S 4679-2022")</f>
        <v/>
      </c>
      <c r="Y19">
        <f>HYPERLINK("https://klasma.github.io/Logging_1272/klagomål/S 4679-2022 FSC-klagomål.docx", "S 4679-2022")</f>
        <v/>
      </c>
      <c r="Z19">
        <f>HYPERLINK("https://klasma.github.io/Logging_1272/klagomålsmail/S 4679-2022 FSC-klagomål mail.docx", "S 4679-2022")</f>
        <v/>
      </c>
      <c r="AA19">
        <f>HYPERLINK("https://klasma.github.io/Logging_1272/tillsyn/S 4679-2022 tillsynsbegäran.docx", "S 4679-2022")</f>
        <v/>
      </c>
      <c r="AB19">
        <f>HYPERLINK("https://klasma.github.io/Logging_1272/tillsynsmail/S 4679-2022 tillsynsbegäran mail.docx", "S 4679-2022")</f>
        <v/>
      </c>
    </row>
    <row r="20" ht="15" customHeight="1">
      <c r="A20" t="inlineStr">
        <is>
          <t>S 3887-2023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45230</v>
      </c>
      <c r="E20" s="1" t="n">
        <v>46218</v>
      </c>
      <c r="F20" t="inlineStr">
        <is>
          <t>SKÅNE LÄN</t>
        </is>
      </c>
      <c r="G20" t="inlineStr">
        <is>
          <t>BROMÖLLA</t>
        </is>
      </c>
      <c r="I20" t="n">
        <v>9.199999999999999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s="2" t="inlineStr">
        <is>
          <t>Grå skärelav</t>
        </is>
      </c>
      <c r="V20">
        <f>HYPERLINK("https://klasma.github.io/Logging_1272/artfynd/S 3887-2023 artfynd.xlsx", "S 3887-2023")</f>
        <v/>
      </c>
      <c r="W20">
        <f>HYPERLINK("https://klasma.github.io/Logging_1272/kartor/S 3887-2023 karta.png", "S 3887-2023")</f>
        <v/>
      </c>
      <c r="Y20">
        <f>HYPERLINK("https://klasma.github.io/Logging_1272/klagomål/S 3887-2023 FSC-klagomål.docx", "S 3887-2023")</f>
        <v/>
      </c>
      <c r="Z20">
        <f>HYPERLINK("https://klasma.github.io/Logging_1272/klagomålsmail/S 3887-2023 FSC-klagomål mail.docx", "S 3887-2023")</f>
        <v/>
      </c>
      <c r="AA20">
        <f>HYPERLINK("https://klasma.github.io/Logging_1272/tillsyn/S 3887-2023 tillsynsbegäran.docx", "S 3887-2023")</f>
        <v/>
      </c>
      <c r="AB20">
        <f>HYPERLINK("https://klasma.github.io/Logging_1272/tillsynsmail/S 3887-2023 tillsynsbegäran mail.docx", "S 3887-2023")</f>
        <v/>
      </c>
    </row>
    <row r="21" ht="15" customHeight="1">
      <c r="A21" t="inlineStr">
        <is>
          <t>S 2338-2023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45106</v>
      </c>
      <c r="E21" s="1" t="n">
        <v>46218</v>
      </c>
      <c r="F21" t="inlineStr">
        <is>
          <t>SKÅNE LÄN</t>
        </is>
      </c>
      <c r="G21" t="inlineStr">
        <is>
          <t>BROMÖLLA</t>
        </is>
      </c>
      <c r="I21" t="n">
        <v>37.6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Trädporella</t>
        </is>
      </c>
      <c r="V21">
        <f>HYPERLINK("https://klasma.github.io/Logging_1272/artfynd/S 2338-2023 artfynd.xlsx", "S 2338-2023")</f>
        <v/>
      </c>
      <c r="W21">
        <f>HYPERLINK("https://klasma.github.io/Logging_1272/kartor/S 2338-2023 karta.png", "S 2338-2023")</f>
        <v/>
      </c>
      <c r="Y21">
        <f>HYPERLINK("https://klasma.github.io/Logging_1272/klagomål/S 2338-2023 FSC-klagomål.docx", "S 2338-2023")</f>
        <v/>
      </c>
      <c r="Z21">
        <f>HYPERLINK("https://klasma.github.io/Logging_1272/klagomålsmail/S 2338-2023 FSC-klagomål mail.docx", "S 2338-2023")</f>
        <v/>
      </c>
      <c r="AA21">
        <f>HYPERLINK("https://klasma.github.io/Logging_1272/tillsyn/S 2338-2023 tillsynsbegäran.docx", "S 2338-2023")</f>
        <v/>
      </c>
      <c r="AB21">
        <f>HYPERLINK("https://klasma.github.io/Logging_1272/tillsynsmail/S 2338-2023 tillsynsbegäran mail.docx", "S 2338-2023")</f>
        <v/>
      </c>
    </row>
    <row r="22" ht="15" customHeight="1">
      <c r="A22" t="inlineStr">
        <is>
          <t>S 5381-2021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44427</v>
      </c>
      <c r="E22" s="1" t="n">
        <v>46218</v>
      </c>
      <c r="F22" t="inlineStr">
        <is>
          <t>SKÅNE LÄN</t>
        </is>
      </c>
      <c r="G22" t="inlineStr">
        <is>
          <t>BROMÖLLA</t>
        </is>
      </c>
      <c r="I22" t="n">
        <v>20.4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s="2" t="inlineStr">
        <is>
          <t>Lamellsnäcka</t>
        </is>
      </c>
      <c r="V22">
        <f>HYPERLINK("https://klasma.github.io/Logging_1272/artfynd/S 5381-2021 artfynd.xlsx", "S 5381-2021")</f>
        <v/>
      </c>
      <c r="W22">
        <f>HYPERLINK("https://klasma.github.io/Logging_1272/kartor/S 5381-2021 karta.png", "S 5381-2021")</f>
        <v/>
      </c>
      <c r="Y22">
        <f>HYPERLINK("https://klasma.github.io/Logging_1272/klagomål/S 5381-2021 FSC-klagomål.docx", "S 5381-2021")</f>
        <v/>
      </c>
      <c r="Z22">
        <f>HYPERLINK("https://klasma.github.io/Logging_1272/klagomålsmail/S 5381-2021 FSC-klagomål mail.docx", "S 5381-2021")</f>
        <v/>
      </c>
      <c r="AA22">
        <f>HYPERLINK("https://klasma.github.io/Logging_1272/tillsyn/S 5381-2021 tillsynsbegäran.docx", "S 5381-2021")</f>
        <v/>
      </c>
      <c r="AB22">
        <f>HYPERLINK("https://klasma.github.io/Logging_1272/tillsynsmail/S 5381-2021 tillsynsbegäran mail.docx", "S 5381-2021")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46218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s="2" t="inlineStr">
        <is>
          <t>Backsippa</t>
        </is>
      </c>
      <c r="V23">
        <f>HYPERLINK("https://klasma.github.io/Logging_1272/artfynd/S 1329-2025 artfynd.xlsx", "S 1329-2025")</f>
        <v/>
      </c>
      <c r="W23">
        <f>HYPERLINK("https://klasma.github.io/Logging_1272/kartor/S 1329-2025 karta.png", "S 1329-2025")</f>
        <v/>
      </c>
      <c r="Y23">
        <f>HYPERLINK("https://klasma.github.io/Logging_1272/klagomål/S 1329-2025 FSC-klagomål.docx", "S 1329-2025")</f>
        <v/>
      </c>
      <c r="Z23">
        <f>HYPERLINK("https://klasma.github.io/Logging_1272/klagomålsmail/S 1329-2025 FSC-klagomål mail.docx", "S 1329-2025")</f>
        <v/>
      </c>
      <c r="AA23">
        <f>HYPERLINK("https://klasma.github.io/Logging_1272/tillsyn/S 1329-2025 tillsynsbegäran.docx", "S 1329-2025")</f>
        <v/>
      </c>
      <c r="AB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46218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Bivråk</t>
        </is>
      </c>
      <c r="V24">
        <f>HYPERLINK("https://klasma.github.io/Logging_1272/artfynd/S 761-2025 artfynd.xlsx", "S 761-2025")</f>
        <v/>
      </c>
      <c r="W24">
        <f>HYPERLINK("https://klasma.github.io/Logging_1272/kartor/S 761-2025 karta.png", "S 761-2025")</f>
        <v/>
      </c>
      <c r="Y24">
        <f>HYPERLINK("https://klasma.github.io/Logging_1272/klagomål/S 761-2025 FSC-klagomål.docx", "S 761-2025")</f>
        <v/>
      </c>
      <c r="Z24">
        <f>HYPERLINK("https://klasma.github.io/Logging_1272/klagomålsmail/S 761-2025 FSC-klagomål mail.docx", "S 761-2025")</f>
        <v/>
      </c>
      <c r="AA24">
        <f>HYPERLINK("https://klasma.github.io/Logging_1272/tillsyn/S 761-2025 tillsynsbegäran.docx", "S 761-2025")</f>
        <v/>
      </c>
      <c r="AB24">
        <f>HYPERLINK("https://klasma.github.io/Logging_1272/tillsynsmail/S 761-2025 tillsynsbegäran mail.docx", "S 761-2025")</f>
        <v/>
      </c>
      <c r="AC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46218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Spillkråka</t>
        </is>
      </c>
      <c r="V25">
        <f>HYPERLINK("https://klasma.github.io/Logging_1272/artfynd/S 836-2026 artfynd.xlsx", "S 836-2026")</f>
        <v/>
      </c>
      <c r="W25">
        <f>HYPERLINK("https://klasma.github.io/Logging_1272/kartor/S 836-2026 karta.png", "S 836-2026")</f>
        <v/>
      </c>
      <c r="Y25">
        <f>HYPERLINK("https://klasma.github.io/Logging_1272/klagomål/S 836-2026 FSC-klagomål.docx", "S 836-2026")</f>
        <v/>
      </c>
      <c r="Z25">
        <f>HYPERLINK("https://klasma.github.io/Logging_1272/klagomålsmail/S 836-2026 FSC-klagomål mail.docx", "S 836-2026")</f>
        <v/>
      </c>
      <c r="AA25">
        <f>HYPERLINK("https://klasma.github.io/Logging_1272/tillsyn/S 836-2026 tillsynsbegäran.docx", "S 836-2026")</f>
        <v/>
      </c>
      <c r="AB25">
        <f>HYPERLINK("https://klasma.github.io/Logging_1272/tillsynsmail/S 836-2026 tillsynsbegäran mail.docx", "S 836-2026")</f>
        <v/>
      </c>
      <c r="AC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46218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Spillkråka</t>
        </is>
      </c>
      <c r="V26">
        <f>HYPERLINK("https://klasma.github.io/Logging_1272/artfynd/S 1376-2026 artfynd.xlsx", "S 1376-2026")</f>
        <v/>
      </c>
      <c r="W26">
        <f>HYPERLINK("https://klasma.github.io/Logging_1272/kartor/S 1376-2026 karta.png", "S 1376-2026")</f>
        <v/>
      </c>
      <c r="Y26">
        <f>HYPERLINK("https://klasma.github.io/Logging_1272/klagomål/S 1376-2026 FSC-klagomål.docx", "S 1376-2026")</f>
        <v/>
      </c>
      <c r="Z26">
        <f>HYPERLINK("https://klasma.github.io/Logging_1272/klagomålsmail/S 1376-2026 FSC-klagomål mail.docx", "S 1376-2026")</f>
        <v/>
      </c>
      <c r="AA26">
        <f>HYPERLINK("https://klasma.github.io/Logging_1272/tillsyn/S 1376-2026 tillsynsbegäran.docx", "S 1376-2026")</f>
        <v/>
      </c>
      <c r="AB26">
        <f>HYPERLINK("https://klasma.github.io/Logging_1272/tillsynsmail/S 1376-2026 tillsynsbegäran mail.docx", "S 1376-2026")</f>
        <v/>
      </c>
      <c r="AC26">
        <f>HYPERLINK("https://klasma.github.io/Logging_1272/fåglar/S 1376-2026 prioriterade fågelarter.docx", "S 1376-2026")</f>
        <v/>
      </c>
    </row>
    <row r="27" ht="15" customHeight="1">
      <c r="A27" t="inlineStr">
        <is>
          <t>A 37809-2021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44402</v>
      </c>
      <c r="E27" s="1" t="n">
        <v>46218</v>
      </c>
      <c r="F27" t="inlineStr">
        <is>
          <t>SKÅNE LÄN</t>
        </is>
      </c>
      <c r="G27" t="inlineStr">
        <is>
          <t>BROMÖLLA</t>
        </is>
      </c>
      <c r="I27" t="n">
        <v>2.5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64621-2021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44511</v>
      </c>
      <c r="E28" s="1" t="n">
        <v>46218</v>
      </c>
      <c r="F28" t="inlineStr">
        <is>
          <t>SKÅNE LÄN</t>
        </is>
      </c>
      <c r="G28" t="inlineStr">
        <is>
          <t>BROMÖLLA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46218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63681-2021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46218</v>
      </c>
      <c r="F30" t="inlineStr">
        <is>
          <t>SKÅNE LÄN</t>
        </is>
      </c>
      <c r="G30" t="inlineStr">
        <is>
          <t>BROMÖLLA</t>
        </is>
      </c>
      <c r="I30" t="n">
        <v>3.2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5816-2022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44596</v>
      </c>
      <c r="E31" s="1" t="n">
        <v>46218</v>
      </c>
      <c r="F31" t="inlineStr">
        <is>
          <t>SKÅNE LÄN</t>
        </is>
      </c>
      <c r="G31" t="inlineStr">
        <is>
          <t>BROMÖLLA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30978-2022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44768</v>
      </c>
      <c r="E32" s="1" t="n">
        <v>46218</v>
      </c>
      <c r="F32" t="inlineStr">
        <is>
          <t>SKÅNE LÄN</t>
        </is>
      </c>
      <c r="G32" t="inlineStr">
        <is>
          <t>BROMÖLLA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46218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42963-2022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44833</v>
      </c>
      <c r="E34" s="1" t="n">
        <v>46218</v>
      </c>
      <c r="F34" t="inlineStr">
        <is>
          <t>SKÅNE LÄN</t>
        </is>
      </c>
      <c r="G34" t="inlineStr">
        <is>
          <t>BROMÖLLA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41896-2021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44426</v>
      </c>
      <c r="E35" s="1" t="n">
        <v>46218</v>
      </c>
      <c r="F35" t="inlineStr">
        <is>
          <t>SKÅNE LÄN</t>
        </is>
      </c>
      <c r="G35" t="inlineStr">
        <is>
          <t>BROMÖLLA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2448-2025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45674</v>
      </c>
      <c r="E36" s="1" t="n">
        <v>46218</v>
      </c>
      <c r="F36" t="inlineStr">
        <is>
          <t>SKÅNE LÄN</t>
        </is>
      </c>
      <c r="G36" t="inlineStr">
        <is>
          <t>BROMÖLLA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10275-2024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45365</v>
      </c>
      <c r="E37" s="1" t="n">
        <v>46218</v>
      </c>
      <c r="F37" t="inlineStr">
        <is>
          <t>SKÅNE LÄN</t>
        </is>
      </c>
      <c r="G37" t="inlineStr">
        <is>
          <t>BROMÖLLA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49831-2022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46218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21980-2023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45068</v>
      </c>
      <c r="E39" s="1" t="n">
        <v>46218</v>
      </c>
      <c r="F39" t="inlineStr">
        <is>
          <t>SKÅNE LÄN</t>
        </is>
      </c>
      <c r="G39" t="inlineStr">
        <is>
          <t>BROMÖLLA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46218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35798-2023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45148</v>
      </c>
      <c r="E41" s="1" t="n">
        <v>46218</v>
      </c>
      <c r="F41" t="inlineStr">
        <is>
          <t>SKÅNE LÄN</t>
        </is>
      </c>
      <c r="G41" t="inlineStr">
        <is>
          <t>BROMÖLLA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59949-2021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46218</v>
      </c>
      <c r="F42" t="inlineStr">
        <is>
          <t>SKÅNE LÄN</t>
        </is>
      </c>
      <c r="G42" t="inlineStr">
        <is>
          <t>BROMÖLLA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41309-2025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45898</v>
      </c>
      <c r="E43" s="1" t="n">
        <v>46218</v>
      </c>
      <c r="F43" t="inlineStr">
        <is>
          <t>SKÅNE LÄN</t>
        </is>
      </c>
      <c r="G43" t="inlineStr">
        <is>
          <t>BROMÖLLA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31649-2023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45117</v>
      </c>
      <c r="E44" s="1" t="n">
        <v>46218</v>
      </c>
      <c r="F44" t="inlineStr">
        <is>
          <t>SKÅNE LÄN</t>
        </is>
      </c>
      <c r="G44" t="inlineStr">
        <is>
          <t>BROMÖLLA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33255-2023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45127</v>
      </c>
      <c r="E45" s="1" t="n">
        <v>46218</v>
      </c>
      <c r="F45" t="inlineStr">
        <is>
          <t>SKÅNE LÄN</t>
        </is>
      </c>
      <c r="G45" t="inlineStr">
        <is>
          <t>BROMÖLLA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41254-2023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45174</v>
      </c>
      <c r="E46" s="1" t="n">
        <v>46218</v>
      </c>
      <c r="F46" t="inlineStr">
        <is>
          <t>SKÅNE LÄN</t>
        </is>
      </c>
      <c r="G46" t="inlineStr">
        <is>
          <t>BROMÖLLA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17253-2023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45033</v>
      </c>
      <c r="E47" s="1" t="n">
        <v>46218</v>
      </c>
      <c r="F47" t="inlineStr">
        <is>
          <t>SKÅNE LÄN</t>
        </is>
      </c>
      <c r="G47" t="inlineStr">
        <is>
          <t>BROMÖLLA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39455-2024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45551</v>
      </c>
      <c r="E48" s="1" t="n">
        <v>46218</v>
      </c>
      <c r="F48" t="inlineStr">
        <is>
          <t>SKÅNE LÄN</t>
        </is>
      </c>
      <c r="G48" t="inlineStr">
        <is>
          <t>BROMÖLLA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30089-2023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45110</v>
      </c>
      <c r="E49" s="1" t="n">
        <v>46218</v>
      </c>
      <c r="F49" t="inlineStr">
        <is>
          <t>SKÅNE LÄN</t>
        </is>
      </c>
      <c r="G49" t="inlineStr">
        <is>
          <t>BROMÖLLA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30112-2023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46218</v>
      </c>
      <c r="F50" t="inlineStr">
        <is>
          <t>SKÅNE LÄN</t>
        </is>
      </c>
      <c r="G50" t="inlineStr">
        <is>
          <t>BROMÖLLA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1566-2024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46218</v>
      </c>
      <c r="F51" t="inlineStr">
        <is>
          <t>SKÅNE LÄN</t>
        </is>
      </c>
      <c r="G51" t="inlineStr">
        <is>
          <t>BROMÖLLA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28870-2023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45104</v>
      </c>
      <c r="E52" s="1" t="n">
        <v>46218</v>
      </c>
      <c r="F52" t="inlineStr">
        <is>
          <t>SKÅNE LÄN</t>
        </is>
      </c>
      <c r="G52" t="inlineStr">
        <is>
          <t>BROMÖLLA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12685-2024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45384</v>
      </c>
      <c r="E53" s="1" t="n">
        <v>46218</v>
      </c>
      <c r="F53" t="inlineStr">
        <is>
          <t>SKÅNE LÄN</t>
        </is>
      </c>
      <c r="G53" t="inlineStr">
        <is>
          <t>BROMÖLLA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48738-2023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45208</v>
      </c>
      <c r="E54" s="1" t="n">
        <v>46218</v>
      </c>
      <c r="F54" t="inlineStr">
        <is>
          <t>SKÅNE LÄN</t>
        </is>
      </c>
      <c r="G54" t="inlineStr">
        <is>
          <t>BROMÖLLA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56056-2023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45233</v>
      </c>
      <c r="E55" s="1" t="n">
        <v>46218</v>
      </c>
      <c r="F55" t="inlineStr">
        <is>
          <t>SKÅNE LÄN</t>
        </is>
      </c>
      <c r="G55" t="inlineStr">
        <is>
          <t>BROMÖLLA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30075-2023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45110</v>
      </c>
      <c r="E56" s="1" t="n">
        <v>46218</v>
      </c>
      <c r="F56" t="inlineStr">
        <is>
          <t>SKÅNE LÄN</t>
        </is>
      </c>
      <c r="G56" t="inlineStr">
        <is>
          <t>BROMÖLLA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42748-2022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44831</v>
      </c>
      <c r="E57" s="1" t="n">
        <v>46218</v>
      </c>
      <c r="F57" t="inlineStr">
        <is>
          <t>SKÅNE LÄN</t>
        </is>
      </c>
      <c r="G57" t="inlineStr">
        <is>
          <t>BROMÖLLA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55901-2024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45622</v>
      </c>
      <c r="E58" s="1" t="n">
        <v>46218</v>
      </c>
      <c r="F58" t="inlineStr">
        <is>
          <t>SKÅNE LÄN</t>
        </is>
      </c>
      <c r="G58" t="inlineStr">
        <is>
          <t>BROMÖLLA</t>
        </is>
      </c>
      <c r="I58" t="n">
        <v>6.4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42333-2023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45180</v>
      </c>
      <c r="E59" s="1" t="n">
        <v>46218</v>
      </c>
      <c r="F59" t="inlineStr">
        <is>
          <t>SKÅNE LÄN</t>
        </is>
      </c>
      <c r="G59" t="inlineStr">
        <is>
          <t>BROMÖLLA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35804-2023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45148</v>
      </c>
      <c r="E60" s="1" t="n">
        <v>46218</v>
      </c>
      <c r="F60" t="inlineStr">
        <is>
          <t>SKÅNE LÄN</t>
        </is>
      </c>
      <c r="G60" t="inlineStr">
        <is>
          <t>BROMÖLLA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30101-2023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45110</v>
      </c>
      <c r="E61" s="1" t="n">
        <v>46218</v>
      </c>
      <c r="F61" t="inlineStr">
        <is>
          <t>SKÅNE LÄN</t>
        </is>
      </c>
      <c r="G61" t="inlineStr">
        <is>
          <t>BROMÖLLA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54689-2023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45235</v>
      </c>
      <c r="E62" s="1" t="n">
        <v>46218</v>
      </c>
      <c r="F62" t="inlineStr">
        <is>
          <t>SKÅNE LÄN</t>
        </is>
      </c>
      <c r="G62" t="inlineStr">
        <is>
          <t>BROMÖLLA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9006-2024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45357</v>
      </c>
      <c r="E63" s="1" t="n">
        <v>46218</v>
      </c>
      <c r="F63" t="inlineStr">
        <is>
          <t>SKÅNE LÄN</t>
        </is>
      </c>
      <c r="G63" t="inlineStr">
        <is>
          <t>BROMÖLLA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41253-2023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45174</v>
      </c>
      <c r="E64" s="1" t="n">
        <v>46218</v>
      </c>
      <c r="F64" t="inlineStr">
        <is>
          <t>SKÅNE LÄN</t>
        </is>
      </c>
      <c r="G64" t="inlineStr">
        <is>
          <t>BROMÖLLA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12721-2023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45000</v>
      </c>
      <c r="E65" s="1" t="n">
        <v>46218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11861-2025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45728</v>
      </c>
      <c r="E66" s="1" t="n">
        <v>46218</v>
      </c>
      <c r="F66" t="inlineStr">
        <is>
          <t>SKÅNE LÄN</t>
        </is>
      </c>
      <c r="G66" t="inlineStr">
        <is>
          <t>BROMÖLLA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814-2024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45300</v>
      </c>
      <c r="E67" s="1" t="n">
        <v>46218</v>
      </c>
      <c r="F67" t="inlineStr">
        <is>
          <t>SKÅNE LÄN</t>
        </is>
      </c>
      <c r="G67" t="inlineStr">
        <is>
          <t>BROMÖLLA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17517-2024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45415</v>
      </c>
      <c r="E68" s="1" t="n">
        <v>46218</v>
      </c>
      <c r="F68" t="inlineStr">
        <is>
          <t>SKÅNE LÄN</t>
        </is>
      </c>
      <c r="G68" t="inlineStr">
        <is>
          <t>BROMÖLLA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46733-2023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45195</v>
      </c>
      <c r="E69" s="1" t="n">
        <v>46218</v>
      </c>
      <c r="F69" t="inlineStr">
        <is>
          <t>SKÅNE LÄN</t>
        </is>
      </c>
      <c r="G69" t="inlineStr">
        <is>
          <t>BROMÖLLA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2453-2025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45674</v>
      </c>
      <c r="E70" s="1" t="n">
        <v>46218</v>
      </c>
      <c r="F70" t="inlineStr">
        <is>
          <t>SKÅNE LÄN</t>
        </is>
      </c>
      <c r="G70" t="inlineStr">
        <is>
          <t>BROMÖLLA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30407-2024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45491</v>
      </c>
      <c r="E71" s="1" t="n">
        <v>46218</v>
      </c>
      <c r="F71" t="inlineStr">
        <is>
          <t>SKÅNE LÄN</t>
        </is>
      </c>
      <c r="G71" t="inlineStr">
        <is>
          <t>BROMÖLLA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40719-2022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44824</v>
      </c>
      <c r="E72" s="1" t="n">
        <v>46218</v>
      </c>
      <c r="F72" t="inlineStr">
        <is>
          <t>SKÅNE LÄN</t>
        </is>
      </c>
      <c r="G72" t="inlineStr">
        <is>
          <t>BROMÖLLA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43276-2023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45180</v>
      </c>
      <c r="E73" s="1" t="n">
        <v>46218</v>
      </c>
      <c r="F73" t="inlineStr">
        <is>
          <t>SKÅNE LÄN</t>
        </is>
      </c>
      <c r="G73" t="inlineStr">
        <is>
          <t>BROMÖLLA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745-2024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45300</v>
      </c>
      <c r="E74" s="1" t="n">
        <v>46218</v>
      </c>
      <c r="F74" t="inlineStr">
        <is>
          <t>SKÅNE LÄN</t>
        </is>
      </c>
      <c r="G74" t="inlineStr">
        <is>
          <t>BROMÖLLA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55762-2025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45972</v>
      </c>
      <c r="E75" s="1" t="n">
        <v>46218</v>
      </c>
      <c r="F75" t="inlineStr">
        <is>
          <t>SKÅNE LÄN</t>
        </is>
      </c>
      <c r="G75" t="inlineStr">
        <is>
          <t>BROMÖLLA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61701-2022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44911</v>
      </c>
      <c r="E76" s="1" t="n">
        <v>46218</v>
      </c>
      <c r="F76" t="inlineStr">
        <is>
          <t>SKÅNE LÄN</t>
        </is>
      </c>
      <c r="G76" t="inlineStr">
        <is>
          <t>BROMÖLLA</t>
        </is>
      </c>
      <c r="H76" t="inlineStr">
        <is>
          <t>Kyrkan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36421-2022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44804</v>
      </c>
      <c r="E77" s="1" t="n">
        <v>46218</v>
      </c>
      <c r="F77" t="inlineStr">
        <is>
          <t>SKÅNE LÄN</t>
        </is>
      </c>
      <c r="G77" t="inlineStr">
        <is>
          <t>BROMÖLLA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20136-2026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46136</v>
      </c>
      <c r="E78" s="1" t="n">
        <v>46218</v>
      </c>
      <c r="F78" t="inlineStr">
        <is>
          <t>SKÅNE LÄN</t>
        </is>
      </c>
      <c r="G78" t="inlineStr">
        <is>
          <t>BROMÖLLA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60055-2025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45993</v>
      </c>
      <c r="E79" s="1" t="n">
        <v>46218</v>
      </c>
      <c r="F79" t="inlineStr">
        <is>
          <t>SKÅNE LÄN</t>
        </is>
      </c>
      <c r="G79" t="inlineStr">
        <is>
          <t>BROMÖLLA</t>
        </is>
      </c>
      <c r="H79" t="inlineStr">
        <is>
          <t>Kyrkan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57181-2024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45629</v>
      </c>
      <c r="E80" s="1" t="n">
        <v>46218</v>
      </c>
      <c r="F80" t="inlineStr">
        <is>
          <t>SKÅNE LÄN</t>
        </is>
      </c>
      <c r="G80" t="inlineStr">
        <is>
          <t>BROMÖLLA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27965-2025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45817</v>
      </c>
      <c r="E81" s="1" t="n">
        <v>46218</v>
      </c>
      <c r="F81" t="inlineStr">
        <is>
          <t>SKÅNE LÄN</t>
        </is>
      </c>
      <c r="G81" t="inlineStr">
        <is>
          <t>BROMÖLLA</t>
        </is>
      </c>
      <c r="I81" t="n">
        <v>12.7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42909-2024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45566</v>
      </c>
      <c r="E82" s="1" t="n">
        <v>46218</v>
      </c>
      <c r="F82" t="inlineStr">
        <is>
          <t>SKÅNE LÄN</t>
        </is>
      </c>
      <c r="G82" t="inlineStr">
        <is>
          <t>BROMÖLLA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26477-2026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46183</v>
      </c>
      <c r="E83" s="1" t="n">
        <v>46218</v>
      </c>
      <c r="F83" t="inlineStr">
        <is>
          <t>SKÅNE LÄN</t>
        </is>
      </c>
      <c r="G83" t="inlineStr">
        <is>
          <t>BROMÖLLA</t>
        </is>
      </c>
      <c r="I83" t="n">
        <v>15.6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60698-2025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45996</v>
      </c>
      <c r="E84" s="1" t="n">
        <v>46218</v>
      </c>
      <c r="F84" t="inlineStr">
        <is>
          <t>SKÅNE LÄN</t>
        </is>
      </c>
      <c r="G84" t="inlineStr">
        <is>
          <t>BROMÖLLA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60696-2025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45996</v>
      </c>
      <c r="E85" s="1" t="n">
        <v>46218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45299</v>
      </c>
      <c r="E86" s="1" t="n">
        <v>46218</v>
      </c>
      <c r="F86" t="inlineStr">
        <is>
          <t>SKÅNE LÄN</t>
        </is>
      </c>
      <c r="G86" t="inlineStr">
        <is>
          <t>BROMÖLLA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26765-2026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46184</v>
      </c>
      <c r="E87" s="1" t="n">
        <v>46218</v>
      </c>
      <c r="F87" t="inlineStr">
        <is>
          <t>SKÅNE LÄN</t>
        </is>
      </c>
      <c r="G87" t="inlineStr">
        <is>
          <t>BROMÖLLA</t>
        </is>
      </c>
      <c r="I87" t="n">
        <v>4.6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56360-2023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45243</v>
      </c>
      <c r="E88" s="1" t="n">
        <v>46218</v>
      </c>
      <c r="F88" t="inlineStr">
        <is>
          <t>SKÅNE LÄN</t>
        </is>
      </c>
      <c r="G88" t="inlineStr">
        <is>
          <t>BROMÖLLA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43647-2021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44433</v>
      </c>
      <c r="E89" s="1" t="n">
        <v>46218</v>
      </c>
      <c r="F89" t="inlineStr">
        <is>
          <t>SKÅNE LÄN</t>
        </is>
      </c>
      <c r="G89" t="inlineStr">
        <is>
          <t>BROMÖLLA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45866</v>
      </c>
      <c r="E90" s="1" t="n">
        <v>46218</v>
      </c>
      <c r="F90" t="inlineStr">
        <is>
          <t>SKÅNE LÄN</t>
        </is>
      </c>
      <c r="G90" t="inlineStr">
        <is>
          <t>BROMÖLLA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11454-2023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46218</v>
      </c>
      <c r="F91" t="inlineStr">
        <is>
          <t>SKÅNE LÄN</t>
        </is>
      </c>
      <c r="G91" t="inlineStr">
        <is>
          <t>BROMÖLLA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52307-2023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45217</v>
      </c>
      <c r="E92" s="1" t="n">
        <v>46218</v>
      </c>
      <c r="F92" t="inlineStr">
        <is>
          <t>SKÅNE LÄN</t>
        </is>
      </c>
      <c r="G92" t="inlineStr">
        <is>
          <t>BROMÖLLA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28129-2026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46195</v>
      </c>
      <c r="E93" s="1" t="n">
        <v>46218</v>
      </c>
      <c r="F93" t="inlineStr">
        <is>
          <t>SKÅNE LÄN</t>
        </is>
      </c>
      <c r="G93" t="inlineStr">
        <is>
          <t>BROMÖLLA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47315-2023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45196</v>
      </c>
      <c r="E94" s="1" t="n">
        <v>46218</v>
      </c>
      <c r="F94" t="inlineStr">
        <is>
          <t>SKÅNE LÄN</t>
        </is>
      </c>
      <c r="G94" t="inlineStr">
        <is>
          <t>BROMÖLLA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42912-2024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45566</v>
      </c>
      <c r="E95" s="1" t="n">
        <v>46218</v>
      </c>
      <c r="F95" t="inlineStr">
        <is>
          <t>SKÅNE LÄN</t>
        </is>
      </c>
      <c r="G95" t="inlineStr">
        <is>
          <t>BROMÖLLA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35802-2023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45148</v>
      </c>
      <c r="E96" s="1" t="n">
        <v>46218</v>
      </c>
      <c r="F96" t="inlineStr">
        <is>
          <t>SKÅNE LÄN</t>
        </is>
      </c>
      <c r="G96" t="inlineStr">
        <is>
          <t>BROMÖLLA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39284-2025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45889</v>
      </c>
      <c r="E97" s="1" t="n">
        <v>46218</v>
      </c>
      <c r="F97" t="inlineStr">
        <is>
          <t>SKÅNE LÄN</t>
        </is>
      </c>
      <c r="G97" t="inlineStr">
        <is>
          <t>BROMÖLLA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8366-2026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46064</v>
      </c>
      <c r="E98" s="1" t="n">
        <v>46218</v>
      </c>
      <c r="F98" t="inlineStr">
        <is>
          <t>SKÅNE LÄN</t>
        </is>
      </c>
      <c r="G98" t="inlineStr">
        <is>
          <t>BROMÖLLA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9508-2026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46071</v>
      </c>
      <c r="E99" s="1" t="n">
        <v>46218</v>
      </c>
      <c r="F99" t="inlineStr">
        <is>
          <t>SKÅNE LÄN</t>
        </is>
      </c>
      <c r="G99" t="inlineStr">
        <is>
          <t>BROMÖLLA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9509-2026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46218</v>
      </c>
      <c r="F100" t="inlineStr">
        <is>
          <t>SKÅNE LÄN</t>
        </is>
      </c>
      <c r="G100" t="inlineStr">
        <is>
          <t>BROMÖLLA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48974-2025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45937</v>
      </c>
      <c r="E101" s="1" t="n">
        <v>46218</v>
      </c>
      <c r="F101" t="inlineStr">
        <is>
          <t>SKÅNE LÄN</t>
        </is>
      </c>
      <c r="G101" t="inlineStr">
        <is>
          <t>BROMÖLLA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31404-2025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45833</v>
      </c>
      <c r="E102" s="1" t="n">
        <v>46218</v>
      </c>
      <c r="F102" t="inlineStr">
        <is>
          <t>SKÅNE LÄN</t>
        </is>
      </c>
      <c r="G102" t="inlineStr">
        <is>
          <t>BROMÖLLA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24528-2026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46170</v>
      </c>
      <c r="E103" s="1" t="n">
        <v>46218</v>
      </c>
      <c r="F103" t="inlineStr">
        <is>
          <t>SKÅNE LÄN</t>
        </is>
      </c>
      <c r="G103" t="inlineStr">
        <is>
          <t>BROMÖLLA</t>
        </is>
      </c>
      <c r="I103" t="n">
        <v>13.5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32272-2024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45512</v>
      </c>
      <c r="E104" s="1" t="n">
        <v>46218</v>
      </c>
      <c r="F104" t="inlineStr">
        <is>
          <t>SKÅNE LÄN</t>
        </is>
      </c>
      <c r="G104" t="inlineStr">
        <is>
          <t>BROMÖLLA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51078-2025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45947</v>
      </c>
      <c r="E105" s="1" t="n">
        <v>46218</v>
      </c>
      <c r="F105" t="inlineStr">
        <is>
          <t>SKÅNE LÄN</t>
        </is>
      </c>
      <c r="G105" t="inlineStr">
        <is>
          <t>BROMÖLLA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46218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46218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46218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46218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46218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46218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46218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46218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46218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46218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46218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46218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46218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46218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46218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46218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46218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46218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2026-07-15T01:25:13Z</dcterms:created>
  <dcterms:modified xmlns:dcterms="http://purl.org/dc/terms/" xmlns:xsi="http://www.w3.org/2001/XMLSchema-instance" xsi:type="dcterms:W3CDTF">2026-07-15T01:25:14Z</dcterms:modified>
</cp:coreProperties>
</file>