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46288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46288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46288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46288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46288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46288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46288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46288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46288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46288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20426-2023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45056</v>
      </c>
      <c r="E13" s="1" t="n">
        <v>46288</v>
      </c>
      <c r="F13" t="inlineStr">
        <is>
          <t>SKÅNE LÄN</t>
        </is>
      </c>
      <c r="G13" t="inlineStr">
        <is>
          <t>BROMÖLLA</t>
        </is>
      </c>
      <c r="I13" t="n">
        <v>5.2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Hålnunneört</t>
        </is>
      </c>
      <c r="W13">
        <f>HYPERLINK("https://klasma.github.io/Logging_1272/artfynd/A 20426-2023 artfynd.xlsx", "A 20426-2023")</f>
        <v/>
      </c>
      <c r="X13">
        <f>HYPERLINK("https://klasma.github.io/Logging_1272/kartor/A 20426-2023 karta.png", "A 20426-2023")</f>
        <v/>
      </c>
      <c r="Y13">
        <f>HYPERLINK("https://klasma.github.io/Logging_1272/kartor_geotiff/A 20426-2023 georefererad karta.tif", "A 20426-2023")</f>
        <v/>
      </c>
      <c r="AA13">
        <f>HYPERLINK("https://klasma.github.io/Logging_1272/klagomål/A 20426-2023 FSC-klagomål.docx", "A 20426-2023")</f>
        <v/>
      </c>
      <c r="AB13">
        <f>HYPERLINK("https://klasma.github.io/Logging_1272/klagomålsmail/A 20426-2023 FSC-klagomål mail.docx", "A 20426-2023")</f>
        <v/>
      </c>
      <c r="AC13">
        <f>HYPERLINK("https://klasma.github.io/Logging_1272/tillsyn/A 20426-2023 tillsynsbegäran.docx", "A 20426-2023")</f>
        <v/>
      </c>
      <c r="AD13">
        <f>HYPERLINK("https://klasma.github.io/Logging_1272/tillsynsmail/A 20426-2023 tillsynsbegäran mail.docx", "A 20426-2023")</f>
        <v/>
      </c>
    </row>
    <row r="14" ht="15" customHeight="1">
      <c r="A14" t="inlineStr">
        <is>
          <t>A 52972-2023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45222</v>
      </c>
      <c r="E14" s="1" t="n">
        <v>46288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HYPERLINK("https://klasma.github.io/Logging_1272/artfynd/A 52972-2023 artfynd.xlsx", "A 52972-2023")</f>
        <v/>
      </c>
      <c r="X14">
        <f>HYPERLINK("https://klasma.github.io/Logging_1272/kartor/A 52972-2023 karta.png", "A 52972-2023")</f>
        <v/>
      </c>
      <c r="Y14">
        <f>HYPERLINK("https://klasma.github.io/Logging_1272/kartor_geotiff/A 52972-2023 georefererad karta.tif", "A 52972-2023")</f>
        <v/>
      </c>
      <c r="AA14">
        <f>HYPERLINK("https://klasma.github.io/Logging_1272/klagomål/A 52972-2023 FSC-klagomål.docx", "A 52972-2023")</f>
        <v/>
      </c>
      <c r="AB14">
        <f>HYPERLINK("https://klasma.github.io/Logging_1272/klagomålsmail/A 52972-2023 FSC-klagomål mail.docx", "A 52972-2023")</f>
        <v/>
      </c>
      <c r="AC14">
        <f>HYPERLINK("https://klasma.github.io/Logging_1272/tillsyn/A 52972-2023 tillsynsbegäran.docx", "A 52972-2023")</f>
        <v/>
      </c>
      <c r="AD14">
        <f>HYPERLINK("https://klasma.github.io/Logging_1272/tillsynsmail/A 52972-2023 tillsynsbegäran mail.docx", "A 52972-2023")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46288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46288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46288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46288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46288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46288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46288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46288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46288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46288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46288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46288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46288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46288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46288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46288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46288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46288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46288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46288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46288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46288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46288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46288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46288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46288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46288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12721-2023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46288</v>
      </c>
      <c r="F42" t="inlineStr">
        <is>
          <t>SKÅNE LÄN</t>
        </is>
      </c>
      <c r="G42" t="inlineStr">
        <is>
          <t>BROMÖLLA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46288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45674</v>
      </c>
      <c r="E44" s="1" t="n">
        <v>46288</v>
      </c>
      <c r="F44" t="inlineStr">
        <is>
          <t>SKÅNE LÄN</t>
        </is>
      </c>
      <c r="G44" t="inlineStr">
        <is>
          <t>BROMÖLLA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54689-2023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45235</v>
      </c>
      <c r="E45" s="1" t="n">
        <v>46288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46288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46288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46288</v>
      </c>
      <c r="F48" t="inlineStr">
        <is>
          <t>SKÅNE LÄN</t>
        </is>
      </c>
      <c r="G48" t="inlineStr">
        <is>
          <t>BROMÖLLA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46288</v>
      </c>
      <c r="F49" t="inlineStr">
        <is>
          <t>SKÅNE LÄN</t>
        </is>
      </c>
      <c r="G49" t="inlineStr">
        <is>
          <t>BROMÖLLA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51078-2025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45947</v>
      </c>
      <c r="E50" s="1" t="n">
        <v>46288</v>
      </c>
      <c r="F50" t="inlineStr">
        <is>
          <t>SKÅNE LÄN</t>
        </is>
      </c>
      <c r="G50" t="inlineStr">
        <is>
          <t>BROMÖLLA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10275-2024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45365</v>
      </c>
      <c r="E51" s="1" t="n">
        <v>46288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49831-2022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46288</v>
      </c>
      <c r="F52" t="inlineStr">
        <is>
          <t>SKÅNE LÄN</t>
        </is>
      </c>
      <c r="G52" t="inlineStr">
        <is>
          <t>BROMÖLLA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34216-2023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45126</v>
      </c>
      <c r="E53" s="1" t="n">
        <v>46288</v>
      </c>
      <c r="F53" t="inlineStr">
        <is>
          <t>SKÅNE LÄN</t>
        </is>
      </c>
      <c r="G53" t="inlineStr">
        <is>
          <t>BROMÖLLA</t>
        </is>
      </c>
      <c r="H53" t="inlineStr">
        <is>
          <t>Kyrkan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35798-2023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45148</v>
      </c>
      <c r="E54" s="1" t="n">
        <v>46288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20136-2026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46288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17253-2023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45033</v>
      </c>
      <c r="E56" s="1" t="n">
        <v>46288</v>
      </c>
      <c r="F56" t="inlineStr">
        <is>
          <t>SKÅNE LÄN</t>
        </is>
      </c>
      <c r="G56" t="inlineStr">
        <is>
          <t>BROMÖLLA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28870-2023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46288</v>
      </c>
      <c r="F57" t="inlineStr">
        <is>
          <t>SKÅNE LÄN</t>
        </is>
      </c>
      <c r="G57" t="inlineStr">
        <is>
          <t>BROMÖLLA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12685-2024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45384</v>
      </c>
      <c r="E58" s="1" t="n">
        <v>46288</v>
      </c>
      <c r="F58" t="inlineStr">
        <is>
          <t>SKÅNE LÄN</t>
        </is>
      </c>
      <c r="G58" t="inlineStr">
        <is>
          <t>BROMÖLLA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45728</v>
      </c>
      <c r="E59" s="1" t="n">
        <v>46288</v>
      </c>
      <c r="F59" t="inlineStr">
        <is>
          <t>SKÅNE LÄN</t>
        </is>
      </c>
      <c r="G59" t="inlineStr">
        <is>
          <t>BROMÖLLA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46288</v>
      </c>
      <c r="F60" t="inlineStr">
        <is>
          <t>SKÅNE LÄN</t>
        </is>
      </c>
      <c r="G60" t="inlineStr">
        <is>
          <t>BROMÖLLA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46288</v>
      </c>
      <c r="F61" t="inlineStr">
        <is>
          <t>SKÅNE LÄN</t>
        </is>
      </c>
      <c r="G61" t="inlineStr">
        <is>
          <t>BROMÖLLA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46288</v>
      </c>
      <c r="F62" t="inlineStr">
        <is>
          <t>SKÅNE LÄN</t>
        </is>
      </c>
      <c r="G62" t="inlineStr">
        <is>
          <t>BROMÖLLA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48974-2025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46288</v>
      </c>
      <c r="F63" t="inlineStr">
        <is>
          <t>SKÅNE LÄN</t>
        </is>
      </c>
      <c r="G63" t="inlineStr">
        <is>
          <t>BROMÖLLA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46288</v>
      </c>
      <c r="F64" t="inlineStr">
        <is>
          <t>SKÅNE LÄN</t>
        </is>
      </c>
      <c r="G64" t="inlineStr">
        <is>
          <t>BROMÖLLA</t>
        </is>
      </c>
      <c r="I64" t="n">
        <v>13.5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60055-2025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45993</v>
      </c>
      <c r="E65" s="1" t="n">
        <v>46288</v>
      </c>
      <c r="F65" t="inlineStr">
        <is>
          <t>SKÅNE LÄN</t>
        </is>
      </c>
      <c r="G65" t="inlineStr">
        <is>
          <t>BROMÖLLA</t>
        </is>
      </c>
      <c r="H65" t="inlineStr">
        <is>
          <t>Kyrkan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45300</v>
      </c>
      <c r="E66" s="1" t="n">
        <v>46288</v>
      </c>
      <c r="F66" t="inlineStr">
        <is>
          <t>SKÅNE LÄN</t>
        </is>
      </c>
      <c r="G66" t="inlineStr">
        <is>
          <t>BROMÖLLA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46288</v>
      </c>
      <c r="F67" t="inlineStr">
        <is>
          <t>SKÅNE LÄN</t>
        </is>
      </c>
      <c r="G67" t="inlineStr">
        <is>
          <t>BROMÖLLA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46288</v>
      </c>
      <c r="F68" t="inlineStr">
        <is>
          <t>SKÅNE LÄN</t>
        </is>
      </c>
      <c r="G68" t="inlineStr">
        <is>
          <t>BROMÖLLA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45866</v>
      </c>
      <c r="E69" s="1" t="n">
        <v>46288</v>
      </c>
      <c r="F69" t="inlineStr">
        <is>
          <t>SKÅNE LÄN</t>
        </is>
      </c>
      <c r="G69" t="inlineStr">
        <is>
          <t>BROMÖLLA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46288</v>
      </c>
      <c r="F70" t="inlineStr">
        <is>
          <t>SKÅNE LÄN</t>
        </is>
      </c>
      <c r="G70" t="inlineStr">
        <is>
          <t>BROMÖLLA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26477-2026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46288</v>
      </c>
      <c r="F71" t="inlineStr">
        <is>
          <t>SKÅNE LÄN</t>
        </is>
      </c>
      <c r="G71" t="inlineStr">
        <is>
          <t>BROMÖLLA</t>
        </is>
      </c>
      <c r="I71" t="n">
        <v>15.6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46195</v>
      </c>
      <c r="E72" s="1" t="n">
        <v>46288</v>
      </c>
      <c r="F72" t="inlineStr">
        <is>
          <t>SKÅNE LÄN</t>
        </is>
      </c>
      <c r="G72" t="inlineStr">
        <is>
          <t>BROMÖLLA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8366-2026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46288</v>
      </c>
      <c r="F73" t="inlineStr">
        <is>
          <t>SKÅNE LÄN</t>
        </is>
      </c>
      <c r="G73" t="inlineStr">
        <is>
          <t>BROMÖLLA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9508-2026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46071</v>
      </c>
      <c r="E74" s="1" t="n">
        <v>46288</v>
      </c>
      <c r="F74" t="inlineStr">
        <is>
          <t>SKÅNE LÄN</t>
        </is>
      </c>
      <c r="G74" t="inlineStr">
        <is>
          <t>BROMÖLLA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46288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44911</v>
      </c>
      <c r="E76" s="1" t="n">
        <v>46288</v>
      </c>
      <c r="F76" t="inlineStr">
        <is>
          <t>SKÅNE LÄN</t>
        </is>
      </c>
      <c r="G76" t="inlineStr">
        <is>
          <t>BROMÖLLA</t>
        </is>
      </c>
      <c r="H76" t="inlineStr">
        <is>
          <t>Kyrkan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46288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44804</v>
      </c>
      <c r="E78" s="1" t="n">
        <v>46288</v>
      </c>
      <c r="F78" t="inlineStr">
        <is>
          <t>SKÅNE LÄN</t>
        </is>
      </c>
      <c r="G78" t="inlineStr">
        <is>
          <t>BROMÖLLA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46288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46288</v>
      </c>
      <c r="F80" t="inlineStr">
        <is>
          <t>SKÅNE LÄN</t>
        </is>
      </c>
      <c r="G80" t="inlineStr">
        <is>
          <t>BROMÖLLA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46288</v>
      </c>
      <c r="F81" t="inlineStr">
        <is>
          <t>SKÅNE LÄN</t>
        </is>
      </c>
      <c r="G81" t="inlineStr">
        <is>
          <t>BROMÖLLA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46288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46288</v>
      </c>
      <c r="F83" t="inlineStr">
        <is>
          <t>SKÅNE LÄN</t>
        </is>
      </c>
      <c r="G83" t="inlineStr">
        <is>
          <t>BROMÖLLA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46288</v>
      </c>
      <c r="F84" t="inlineStr">
        <is>
          <t>SKÅNE LÄN</t>
        </is>
      </c>
      <c r="G84" t="inlineStr">
        <is>
          <t>BROMÖLLA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46288</v>
      </c>
      <c r="F85" t="inlineStr">
        <is>
          <t>SKÅNE LÄN</t>
        </is>
      </c>
      <c r="G85" t="inlineStr">
        <is>
          <t>BROMÖLLA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46288</v>
      </c>
      <c r="F86" t="inlineStr">
        <is>
          <t>SKÅNE LÄN</t>
        </is>
      </c>
      <c r="G86" t="inlineStr">
        <is>
          <t>BROMÖLLA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46288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46230</v>
      </c>
      <c r="E88" s="1" t="n">
        <v>46288</v>
      </c>
      <c r="F88" t="inlineStr">
        <is>
          <t>SKÅNE LÄN</t>
        </is>
      </c>
      <c r="G88" t="inlineStr">
        <is>
          <t>BROMÖLLA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46288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46288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46288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46288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46288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46288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38164-2026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46281</v>
      </c>
      <c r="E95" s="1" t="n">
        <v>46288</v>
      </c>
      <c r="F95" t="inlineStr">
        <is>
          <t>SKÅNE LÄN</t>
        </is>
      </c>
      <c r="G95" t="inlineStr">
        <is>
          <t>BROMÖLLA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46288</v>
      </c>
      <c r="F96" t="inlineStr">
        <is>
          <t>SKÅNE LÄN</t>
        </is>
      </c>
      <c r="G96" t="inlineStr">
        <is>
          <t>BROMÖLLA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42333-2023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46288</v>
      </c>
      <c r="F97" t="inlineStr">
        <is>
          <t>SKÅNE LÄN</t>
        </is>
      </c>
      <c r="G97" t="inlineStr">
        <is>
          <t>BROMÖLLA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46288</v>
      </c>
      <c r="F98" t="inlineStr">
        <is>
          <t>SKÅNE LÄN</t>
        </is>
      </c>
      <c r="G98" t="inlineStr">
        <is>
          <t>BROMÖLLA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46288</v>
      </c>
      <c r="F99" t="inlineStr">
        <is>
          <t>SKÅNE LÄN</t>
        </is>
      </c>
      <c r="G99" t="inlineStr">
        <is>
          <t>BROMÖLLA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17517-2024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45415</v>
      </c>
      <c r="E100" s="1" t="n">
        <v>46288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46288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45491</v>
      </c>
      <c r="E102" s="1" t="n">
        <v>46288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46288</v>
      </c>
      <c r="F103" t="inlineStr">
        <is>
          <t>SKÅNE LÄN</t>
        </is>
      </c>
      <c r="G103" t="inlineStr">
        <is>
          <t>BROMÖLLA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46288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46288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46288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46288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46288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46288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46288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46288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46288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46288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46288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46288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46288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46288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46288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46288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46288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46288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2026-09-23T01:54:20Z</dcterms:created>
  <dcterms:modified xmlns:dcterms="http://purl.org/dc/terms/" xmlns:xsi="http://www.w3.org/2001/XMLSchema-instance" xsi:type="dcterms:W3CDTF">2026-09-23T01:54:20Z</dcterms:modified>
</cp:coreProperties>
</file>