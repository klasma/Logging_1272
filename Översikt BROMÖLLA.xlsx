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46259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46259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46259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46259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46259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46259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46259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46259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46259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46259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46259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35397-2025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45854</v>
      </c>
      <c r="E13" s="1" t="n">
        <v>46259</v>
      </c>
      <c r="F13" t="inlineStr">
        <is>
          <t>SKÅNE LÄN</t>
        </is>
      </c>
      <c r="G13" t="inlineStr">
        <is>
          <t>BROMÖLLA</t>
        </is>
      </c>
      <c r="I13" t="n">
        <v>8.4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Skogsbräsma</t>
        </is>
      </c>
      <c r="W13">
        <f>HYPERLINK("https://klasma.github.io/Logging_1272/artfynd/A 35397-2025 artfynd.xlsx", "A 35397-2025")</f>
        <v/>
      </c>
      <c r="X13">
        <f>HYPERLINK("https://klasma.github.io/Logging_1272/kartor/A 35397-2025 karta.png", "A 35397-2025")</f>
        <v/>
      </c>
      <c r="Y13">
        <f>HYPERLINK("https://klasma.github.io/Logging_1272/kartor_geotiff/A 35397-2025 georefererad karta.tif", "A 35397-2025")</f>
        <v/>
      </c>
      <c r="AA13">
        <f>HYPERLINK("https://klasma.github.io/Logging_1272/klagomål/A 35397-2025 FSC-klagomål.docx", "A 35397-2025")</f>
        <v/>
      </c>
      <c r="AB13">
        <f>HYPERLINK("https://klasma.github.io/Logging_1272/klagomålsmail/A 35397-2025 FSC-klagomål mail.docx", "A 35397-2025")</f>
        <v/>
      </c>
      <c r="AC13">
        <f>HYPERLINK("https://klasma.github.io/Logging_1272/tillsyn/A 35397-2025 tillsynsbegäran.docx", "A 35397-2025")</f>
        <v/>
      </c>
      <c r="AD13">
        <f>HYPERLINK("https://klasma.github.io/Logging_1272/tillsynsmail/A 35397-2025 tillsynsbegäran mail.docx", "A 35397-2025")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46259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Hålnunneört</t>
        </is>
      </c>
      <c r="W14">
        <f>HYPERLINK("https://klasma.github.io/Logging_1272/artfynd/A 20426-2023 artfynd.xlsx", "A 20426-2023")</f>
        <v/>
      </c>
      <c r="X14">
        <f>HYPERLINK("https://klasma.github.io/Logging_1272/kartor/A 20426-2023 karta.png", "A 20426-2023")</f>
        <v/>
      </c>
      <c r="Y14">
        <f>HYPERLINK("https://klasma.github.io/Logging_1272/kartor_geotiff/A 20426-2023 georefererad karta.tif", "A 20426-2023")</f>
        <v/>
      </c>
      <c r="AA14">
        <f>HYPERLINK("https://klasma.github.io/Logging_1272/klagomål/A 20426-2023 FSC-klagomål.docx", "A 20426-2023")</f>
        <v/>
      </c>
      <c r="AB14">
        <f>HYPERLINK("https://klasma.github.io/Logging_1272/klagomålsmail/A 20426-2023 FSC-klagomål mail.docx", "A 20426-2023")</f>
        <v/>
      </c>
      <c r="AC14">
        <f>HYPERLINK("https://klasma.github.io/Logging_1272/tillsyn/A 20426-2023 tillsynsbegäran.docx", "A 20426-2023")</f>
        <v/>
      </c>
      <c r="AD14">
        <f>HYPERLINK("https://klasma.github.io/Logging_1272/tillsynsmail/A 20426-2023 tillsynsbegäran mail.docx", "A 20426-2023")</f>
        <v/>
      </c>
    </row>
    <row r="15" ht="15" customHeight="1">
      <c r="A15" t="inlineStr">
        <is>
          <t>A 24688-2025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46259</v>
      </c>
      <c r="F15" t="inlineStr">
        <is>
          <t>SKÅNE LÄN</t>
        </is>
      </c>
      <c r="G15" t="inlineStr">
        <is>
          <t>BROMÖLLA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Järnsparv</t>
        </is>
      </c>
      <c r="W15">
        <f>HYPERLINK("https://klasma.github.io/Logging_1272/artfynd/A 24688-2025 artfynd.xlsx", "A 24688-2025")</f>
        <v/>
      </c>
      <c r="X15">
        <f>HYPERLINK("https://klasma.github.io/Logging_1272/kartor/A 24688-2025 karta.png", "A 24688-2025")</f>
        <v/>
      </c>
      <c r="Y15">
        <f>HYPERLINK("https://klasma.github.io/Logging_1272/kartor_geotiff/A 24688-2025 georefererad karta.tif", "A 24688-2025")</f>
        <v/>
      </c>
      <c r="AA15">
        <f>HYPERLINK("https://klasma.github.io/Logging_1272/klagomål/A 24688-2025 FSC-klagomål.docx", "A 24688-2025")</f>
        <v/>
      </c>
      <c r="AB15">
        <f>HYPERLINK("https://klasma.github.io/Logging_1272/klagomålsmail/A 24688-2025 FSC-klagomål mail.docx", "A 24688-2025")</f>
        <v/>
      </c>
      <c r="AC15">
        <f>HYPERLINK("https://klasma.github.io/Logging_1272/tillsyn/A 24688-2025 tillsynsbegäran.docx", "A 24688-2025")</f>
        <v/>
      </c>
      <c r="AD15">
        <f>HYPERLINK("https://klasma.github.io/Logging_1272/tillsynsmail/A 24688-2025 tillsynsbegäran mail.docx", "A 24688-2025")</f>
        <v/>
      </c>
      <c r="AE15">
        <f>HYPERLINK("https://klasma.github.io/Logging_1272/fåglar/A 24688-2025 prioriterade fågelarter.docx", "A 24688-2025")</f>
        <v/>
      </c>
    </row>
    <row r="16" ht="15" customHeight="1">
      <c r="A16" t="inlineStr">
        <is>
          <t>A 8362-2026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46064</v>
      </c>
      <c r="E16" s="1" t="n">
        <v>46259</v>
      </c>
      <c r="F16" t="inlineStr">
        <is>
          <t>SKÅNE LÄN</t>
        </is>
      </c>
      <c r="G16" t="inlineStr">
        <is>
          <t>BROMÖLLA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HYPERLINK("https://klasma.github.io/Logging_1272/artfynd/A 8362-2026 artfynd.xlsx", "A 8362-2026")</f>
        <v/>
      </c>
      <c r="X16">
        <f>HYPERLINK("https://klasma.github.io/Logging_1272/kartor/A 8362-2026 karta.png", "A 8362-2026")</f>
        <v/>
      </c>
      <c r="Y16">
        <f>HYPERLINK("https://klasma.github.io/Logging_1272/kartor_geotiff/A 8362-2026 georefererad karta.tif", "A 8362-2026")</f>
        <v/>
      </c>
      <c r="AA16">
        <f>HYPERLINK("https://klasma.github.io/Logging_1272/klagomål/A 8362-2026 FSC-klagomål.docx", "A 8362-2026")</f>
        <v/>
      </c>
      <c r="AB16">
        <f>HYPERLINK("https://klasma.github.io/Logging_1272/klagomålsmail/A 8362-2026 FSC-klagomål mail.docx", "A 8362-2026")</f>
        <v/>
      </c>
      <c r="AC16">
        <f>HYPERLINK("https://klasma.github.io/Logging_1272/tillsyn/A 8362-2026 tillsynsbegäran.docx", "A 8362-2026")</f>
        <v/>
      </c>
      <c r="AD16">
        <f>HYPERLINK("https://klasma.github.io/Logging_1272/tillsynsmail/A 8362-2026 tillsynsbegäran mail.docx", "A 8362-2026")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46259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46259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46259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46259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46259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46259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46259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46259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46259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46259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46259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46259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46259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30075-2023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45110</v>
      </c>
      <c r="E30" s="1" t="n">
        <v>46259</v>
      </c>
      <c r="F30" t="inlineStr">
        <is>
          <t>SKÅNE LÄN</t>
        </is>
      </c>
      <c r="G30" t="inlineStr">
        <is>
          <t>BROMÖLLA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46259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745-2024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45300</v>
      </c>
      <c r="E32" s="1" t="n">
        <v>46259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43276-2023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45180</v>
      </c>
      <c r="E33" s="1" t="n">
        <v>46259</v>
      </c>
      <c r="F33" t="inlineStr">
        <is>
          <t>SKÅNE LÄN</t>
        </is>
      </c>
      <c r="G33" t="inlineStr">
        <is>
          <t>BROMÖLLA</t>
        </is>
      </c>
      <c r="I33" t="n">
        <v>5.6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46259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46259</v>
      </c>
      <c r="F35" t="inlineStr">
        <is>
          <t>SKÅNE LÄN</t>
        </is>
      </c>
      <c r="G35" t="inlineStr">
        <is>
          <t>BROMÖLLA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39455-2024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45551</v>
      </c>
      <c r="E36" s="1" t="n">
        <v>46259</v>
      </c>
      <c r="F36" t="inlineStr">
        <is>
          <t>SKÅNE LÄN</t>
        </is>
      </c>
      <c r="G36" t="inlineStr">
        <is>
          <t>BROMÖLLA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43647-2021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46259</v>
      </c>
      <c r="F37" t="inlineStr">
        <is>
          <t>SKÅNE LÄN</t>
        </is>
      </c>
      <c r="G37" t="inlineStr">
        <is>
          <t>BROMÖLLA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47315-2023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45196</v>
      </c>
      <c r="E38" s="1" t="n">
        <v>46259</v>
      </c>
      <c r="F38" t="inlineStr">
        <is>
          <t>SKÅNE LÄN</t>
        </is>
      </c>
      <c r="G38" t="inlineStr">
        <is>
          <t>BROMÖLLA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44596</v>
      </c>
      <c r="E39" s="1" t="n">
        <v>46259</v>
      </c>
      <c r="F39" t="inlineStr">
        <is>
          <t>SKÅNE LÄN</t>
        </is>
      </c>
      <c r="G39" t="inlineStr">
        <is>
          <t>BROMÖLLA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42333-2023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46259</v>
      </c>
      <c r="F40" t="inlineStr">
        <is>
          <t>SKÅNE LÄN</t>
        </is>
      </c>
      <c r="G40" t="inlineStr">
        <is>
          <t>BROMÖLLA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54689-2023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46259</v>
      </c>
      <c r="F41" t="inlineStr">
        <is>
          <t>SKÅNE LÄN</t>
        </is>
      </c>
      <c r="G41" t="inlineStr">
        <is>
          <t>BROMÖLLA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46259</v>
      </c>
      <c r="F42" t="inlineStr">
        <is>
          <t>SKÅNE LÄN</t>
        </is>
      </c>
      <c r="G42" t="inlineStr">
        <is>
          <t>BROMÖLLA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42748-2022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46259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10275-2024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45365</v>
      </c>
      <c r="E44" s="1" t="n">
        <v>46259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31649-2023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46259</v>
      </c>
      <c r="F45" t="inlineStr">
        <is>
          <t>SKÅNE LÄN</t>
        </is>
      </c>
      <c r="G45" t="inlineStr">
        <is>
          <t>BROMÖLLA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35802-2023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46259</v>
      </c>
      <c r="F46" t="inlineStr">
        <is>
          <t>SKÅNE LÄN</t>
        </is>
      </c>
      <c r="G46" t="inlineStr">
        <is>
          <t>BROMÖLLA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27965-2025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46259</v>
      </c>
      <c r="F47" t="inlineStr">
        <is>
          <t>SKÅNE LÄN</t>
        </is>
      </c>
      <c r="G47" t="inlineStr">
        <is>
          <t>BROMÖLLA</t>
        </is>
      </c>
      <c r="I47" t="n">
        <v>12.7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57181-2024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46259</v>
      </c>
      <c r="F48" t="inlineStr">
        <is>
          <t>SKÅNE LÄN</t>
        </is>
      </c>
      <c r="G48" t="inlineStr">
        <is>
          <t>BROMÖLLA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46259</v>
      </c>
      <c r="F49" t="inlineStr">
        <is>
          <t>SKÅNE LÄN</t>
        </is>
      </c>
      <c r="G49" t="inlineStr">
        <is>
          <t>BROMÖLLA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34216-2023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45126</v>
      </c>
      <c r="E50" s="1" t="n">
        <v>46259</v>
      </c>
      <c r="F50" t="inlineStr">
        <is>
          <t>SKÅNE LÄN</t>
        </is>
      </c>
      <c r="G50" t="inlineStr">
        <is>
          <t>BROMÖLLA</t>
        </is>
      </c>
      <c r="H50" t="inlineStr">
        <is>
          <t>Kyrkan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42912-2024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45566</v>
      </c>
      <c r="E51" s="1" t="n">
        <v>46259</v>
      </c>
      <c r="F51" t="inlineStr">
        <is>
          <t>SKÅNE LÄN</t>
        </is>
      </c>
      <c r="G51" t="inlineStr">
        <is>
          <t>BROMÖLLA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44824</v>
      </c>
      <c r="E52" s="1" t="n">
        <v>46259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35798-2023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45148</v>
      </c>
      <c r="E53" s="1" t="n">
        <v>46259</v>
      </c>
      <c r="F53" t="inlineStr">
        <is>
          <t>SKÅNE LÄN</t>
        </is>
      </c>
      <c r="G53" t="inlineStr">
        <is>
          <t>BROMÖLLA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61701-2022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44911</v>
      </c>
      <c r="E54" s="1" t="n">
        <v>46259</v>
      </c>
      <c r="F54" t="inlineStr">
        <is>
          <t>SKÅNE LÄN</t>
        </is>
      </c>
      <c r="G54" t="inlineStr">
        <is>
          <t>BROMÖLLA</t>
        </is>
      </c>
      <c r="H54" t="inlineStr">
        <is>
          <t>Kyrkan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45110</v>
      </c>
      <c r="E55" s="1" t="n">
        <v>46259</v>
      </c>
      <c r="F55" t="inlineStr">
        <is>
          <t>SKÅNE LÄN</t>
        </is>
      </c>
      <c r="G55" t="inlineStr">
        <is>
          <t>BROMÖLLA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20136-2026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46136</v>
      </c>
      <c r="E56" s="1" t="n">
        <v>46259</v>
      </c>
      <c r="F56" t="inlineStr">
        <is>
          <t>SKÅNE LÄN</t>
        </is>
      </c>
      <c r="G56" t="inlineStr">
        <is>
          <t>BROMÖLLA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56056-2023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45233</v>
      </c>
      <c r="E57" s="1" t="n">
        <v>46259</v>
      </c>
      <c r="F57" t="inlineStr">
        <is>
          <t>SKÅNE LÄN</t>
        </is>
      </c>
      <c r="G57" t="inlineStr">
        <is>
          <t>BROMÖLLA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51078-2025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46259</v>
      </c>
      <c r="F58" t="inlineStr">
        <is>
          <t>SKÅNE LÄN</t>
        </is>
      </c>
      <c r="G58" t="inlineStr">
        <is>
          <t>BROMÖLLA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32272-2024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45512</v>
      </c>
      <c r="E59" s="1" t="n">
        <v>46259</v>
      </c>
      <c r="F59" t="inlineStr">
        <is>
          <t>SKÅNE LÄN</t>
        </is>
      </c>
      <c r="G59" t="inlineStr">
        <is>
          <t>BROMÖLLA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45174</v>
      </c>
      <c r="E60" s="1" t="n">
        <v>46259</v>
      </c>
      <c r="F60" t="inlineStr">
        <is>
          <t>SKÅNE LÄN</t>
        </is>
      </c>
      <c r="G60" t="inlineStr">
        <is>
          <t>BROMÖLLA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45299</v>
      </c>
      <c r="E61" s="1" t="n">
        <v>46259</v>
      </c>
      <c r="F61" t="inlineStr">
        <is>
          <t>SKÅNE LÄN</t>
        </is>
      </c>
      <c r="G61" t="inlineStr">
        <is>
          <t>BROMÖLLA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45306</v>
      </c>
      <c r="E62" s="1" t="n">
        <v>46259</v>
      </c>
      <c r="F62" t="inlineStr">
        <is>
          <t>SKÅNE LÄN</t>
        </is>
      </c>
      <c r="G62" t="inlineStr">
        <is>
          <t>BROMÖLLA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45674</v>
      </c>
      <c r="E63" s="1" t="n">
        <v>46259</v>
      </c>
      <c r="F63" t="inlineStr">
        <is>
          <t>SKÅNE LÄN</t>
        </is>
      </c>
      <c r="G63" t="inlineStr">
        <is>
          <t>BROMÖLLA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36421-2022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44804</v>
      </c>
      <c r="E64" s="1" t="n">
        <v>46259</v>
      </c>
      <c r="F64" t="inlineStr">
        <is>
          <t>SKÅNE LÄN</t>
        </is>
      </c>
      <c r="G64" t="inlineStr">
        <is>
          <t>BROMÖLLA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45674</v>
      </c>
      <c r="E65" s="1" t="n">
        <v>46259</v>
      </c>
      <c r="F65" t="inlineStr">
        <is>
          <t>SKÅNE LÄN</t>
        </is>
      </c>
      <c r="G65" t="inlineStr">
        <is>
          <t>BROMÖLLA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45033</v>
      </c>
      <c r="E66" s="1" t="n">
        <v>46259</v>
      </c>
      <c r="F66" t="inlineStr">
        <is>
          <t>SKÅNE LÄN</t>
        </is>
      </c>
      <c r="G66" t="inlineStr">
        <is>
          <t>BROMÖLLA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46259</v>
      </c>
      <c r="F67" t="inlineStr">
        <is>
          <t>SKÅNE LÄN</t>
        </is>
      </c>
      <c r="G67" t="inlineStr">
        <is>
          <t>BROMÖLLA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35804-2023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45148</v>
      </c>
      <c r="E68" s="1" t="n">
        <v>46259</v>
      </c>
      <c r="F68" t="inlineStr">
        <is>
          <t>SKÅNE LÄN</t>
        </is>
      </c>
      <c r="G68" t="inlineStr">
        <is>
          <t>BROMÖLLA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46259</v>
      </c>
      <c r="F69" t="inlineStr">
        <is>
          <t>SKÅNE LÄN</t>
        </is>
      </c>
      <c r="G69" t="inlineStr">
        <is>
          <t>BROMÖLLA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30089-2023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45110</v>
      </c>
      <c r="E70" s="1" t="n">
        <v>46259</v>
      </c>
      <c r="F70" t="inlineStr">
        <is>
          <t>SKÅNE LÄN</t>
        </is>
      </c>
      <c r="G70" t="inlineStr">
        <is>
          <t>BROMÖLLA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46733-2023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45195</v>
      </c>
      <c r="E71" s="1" t="n">
        <v>46259</v>
      </c>
      <c r="F71" t="inlineStr">
        <is>
          <t>SKÅNE LÄN</t>
        </is>
      </c>
      <c r="G71" t="inlineStr">
        <is>
          <t>BROMÖLLA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45243</v>
      </c>
      <c r="E72" s="1" t="n">
        <v>46259</v>
      </c>
      <c r="F72" t="inlineStr">
        <is>
          <t>SKÅNE LÄN</t>
        </is>
      </c>
      <c r="G72" t="inlineStr">
        <is>
          <t>BROMÖLLA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45728</v>
      </c>
      <c r="E73" s="1" t="n">
        <v>46259</v>
      </c>
      <c r="F73" t="inlineStr">
        <is>
          <t>SKÅNE LÄN</t>
        </is>
      </c>
      <c r="G73" t="inlineStr">
        <is>
          <t>BROMÖLLA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45889</v>
      </c>
      <c r="E74" s="1" t="n">
        <v>46259</v>
      </c>
      <c r="F74" t="inlineStr">
        <is>
          <t>SKÅNE LÄN</t>
        </is>
      </c>
      <c r="G74" t="inlineStr">
        <is>
          <t>BROMÖLLA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44993</v>
      </c>
      <c r="E75" s="1" t="n">
        <v>46259</v>
      </c>
      <c r="F75" t="inlineStr">
        <is>
          <t>SKÅNE LÄN</t>
        </is>
      </c>
      <c r="G75" t="inlineStr">
        <is>
          <t>BROMÖLLA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46259</v>
      </c>
      <c r="F76" t="inlineStr">
        <is>
          <t>SKÅNE LÄN</t>
        </is>
      </c>
      <c r="G76" t="inlineStr">
        <is>
          <t>BROMÖLLA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24528-2026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46170</v>
      </c>
      <c r="E77" s="1" t="n">
        <v>46259</v>
      </c>
      <c r="F77" t="inlineStr">
        <is>
          <t>SKÅNE LÄN</t>
        </is>
      </c>
      <c r="G77" t="inlineStr">
        <is>
          <t>BROMÖLLA</t>
        </is>
      </c>
      <c r="I77" t="n">
        <v>13.5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12721-2023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46259</v>
      </c>
      <c r="F78" t="inlineStr">
        <is>
          <t>SKÅNE LÄN</t>
        </is>
      </c>
      <c r="G78" t="inlineStr">
        <is>
          <t>BROMÖLLA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59949-2021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46259</v>
      </c>
      <c r="F79" t="inlineStr">
        <is>
          <t>SKÅNE LÄN</t>
        </is>
      </c>
      <c r="G79" t="inlineStr">
        <is>
          <t>BROMÖLLA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45972</v>
      </c>
      <c r="E80" s="1" t="n">
        <v>46259</v>
      </c>
      <c r="F80" t="inlineStr">
        <is>
          <t>SKÅNE LÄN</t>
        </is>
      </c>
      <c r="G80" t="inlineStr">
        <is>
          <t>BROMÖLLA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26477-2026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46183</v>
      </c>
      <c r="E81" s="1" t="n">
        <v>46259</v>
      </c>
      <c r="F81" t="inlineStr">
        <is>
          <t>SKÅNE LÄN</t>
        </is>
      </c>
      <c r="G81" t="inlineStr">
        <is>
          <t>BROMÖLLA</t>
        </is>
      </c>
      <c r="I81" t="n">
        <v>15.6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26765-2026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46259</v>
      </c>
      <c r="F82" t="inlineStr">
        <is>
          <t>SKÅNE LÄN</t>
        </is>
      </c>
      <c r="G82" t="inlineStr">
        <is>
          <t>BROMÖLLA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31810-2026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46230</v>
      </c>
      <c r="E83" s="1" t="n">
        <v>46259</v>
      </c>
      <c r="F83" t="inlineStr">
        <is>
          <t>SKÅNE LÄN</t>
        </is>
      </c>
      <c r="G83" t="inlineStr">
        <is>
          <t>BROMÖLLA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31815-2026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46259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46259</v>
      </c>
      <c r="F85" t="inlineStr">
        <is>
          <t>SKÅNE LÄN</t>
        </is>
      </c>
      <c r="G85" t="inlineStr">
        <is>
          <t>BROMÖLLA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33255-2023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45127</v>
      </c>
      <c r="E86" s="1" t="n">
        <v>46259</v>
      </c>
      <c r="F86" t="inlineStr">
        <is>
          <t>SKÅNE LÄN</t>
        </is>
      </c>
      <c r="G86" t="inlineStr">
        <is>
          <t>BROMÖLLA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17517-2024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45415</v>
      </c>
      <c r="E87" s="1" t="n">
        <v>46259</v>
      </c>
      <c r="F87" t="inlineStr">
        <is>
          <t>SKÅNE LÄN</t>
        </is>
      </c>
      <c r="G87" t="inlineStr">
        <is>
          <t>BROMÖLLA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46259</v>
      </c>
      <c r="F88" t="inlineStr">
        <is>
          <t>SKÅNE LÄN</t>
        </is>
      </c>
      <c r="G88" t="inlineStr">
        <is>
          <t>BROMÖLLA</t>
        </is>
      </c>
      <c r="H88" t="inlineStr">
        <is>
          <t>Kyrkan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45996</v>
      </c>
      <c r="E89" s="1" t="n">
        <v>46259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60696-2025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45996</v>
      </c>
      <c r="E90" s="1" t="n">
        <v>46259</v>
      </c>
      <c r="F90" t="inlineStr">
        <is>
          <t>SKÅNE LÄN</t>
        </is>
      </c>
      <c r="G90" t="inlineStr">
        <is>
          <t>BROMÖLLA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28129-2026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46195</v>
      </c>
      <c r="E91" s="1" t="n">
        <v>46259</v>
      </c>
      <c r="F91" t="inlineStr">
        <is>
          <t>SKÅNE LÄN</t>
        </is>
      </c>
      <c r="G91" t="inlineStr">
        <is>
          <t>BROMÖLLA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46259</v>
      </c>
      <c r="F92" t="inlineStr">
        <is>
          <t>SKÅNE LÄN</t>
        </is>
      </c>
      <c r="G92" t="inlineStr">
        <is>
          <t>BROMÖLLA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46259</v>
      </c>
      <c r="F93" t="inlineStr">
        <is>
          <t>SKÅNE LÄN</t>
        </is>
      </c>
      <c r="G93" t="inlineStr">
        <is>
          <t>BROMÖLLA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45866</v>
      </c>
      <c r="E94" s="1" t="n">
        <v>46259</v>
      </c>
      <c r="F94" t="inlineStr">
        <is>
          <t>SKÅNE LÄN</t>
        </is>
      </c>
      <c r="G94" t="inlineStr">
        <is>
          <t>BROMÖLLA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45566</v>
      </c>
      <c r="E95" s="1" t="n">
        <v>46259</v>
      </c>
      <c r="F95" t="inlineStr">
        <is>
          <t>SKÅNE LÄN</t>
        </is>
      </c>
      <c r="G95" t="inlineStr">
        <is>
          <t>BROMÖLLA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28870-2023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45104</v>
      </c>
      <c r="E96" s="1" t="n">
        <v>46259</v>
      </c>
      <c r="F96" t="inlineStr">
        <is>
          <t>SKÅNE LÄN</t>
        </is>
      </c>
      <c r="G96" t="inlineStr">
        <is>
          <t>BROMÖLLA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45300</v>
      </c>
      <c r="E97" s="1" t="n">
        <v>46259</v>
      </c>
      <c r="F97" t="inlineStr">
        <is>
          <t>SKÅNE LÄN</t>
        </is>
      </c>
      <c r="G97" t="inlineStr">
        <is>
          <t>BROMÖLLA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46259</v>
      </c>
      <c r="F98" t="inlineStr">
        <is>
          <t>SKÅNE LÄN</t>
        </is>
      </c>
      <c r="G98" t="inlineStr">
        <is>
          <t>BROMÖLLA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45491</v>
      </c>
      <c r="E99" s="1" t="n">
        <v>46259</v>
      </c>
      <c r="F99" t="inlineStr">
        <is>
          <t>SKÅNE LÄN</t>
        </is>
      </c>
      <c r="G99" t="inlineStr">
        <is>
          <t>BROMÖLLA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8366-2026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46064</v>
      </c>
      <c r="E100" s="1" t="n">
        <v>46259</v>
      </c>
      <c r="F100" t="inlineStr">
        <is>
          <t>SKÅNE LÄN</t>
        </is>
      </c>
      <c r="G100" t="inlineStr">
        <is>
          <t>BROMÖLLA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9508-2026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46071</v>
      </c>
      <c r="E101" s="1" t="n">
        <v>46259</v>
      </c>
      <c r="F101" t="inlineStr">
        <is>
          <t>SKÅNE LÄN</t>
        </is>
      </c>
      <c r="G101" t="inlineStr">
        <is>
          <t>BROMÖLLA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9509-2026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46071</v>
      </c>
      <c r="E102" s="1" t="n">
        <v>46259</v>
      </c>
      <c r="F102" t="inlineStr">
        <is>
          <t>SKÅNE LÄN</t>
        </is>
      </c>
      <c r="G102" t="inlineStr">
        <is>
          <t>BROMÖLLA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45833</v>
      </c>
      <c r="E103" s="1" t="n">
        <v>46259</v>
      </c>
      <c r="F103" t="inlineStr">
        <is>
          <t>SKÅNE LÄN</t>
        </is>
      </c>
      <c r="G103" t="inlineStr">
        <is>
          <t>BROMÖLLA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46259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46259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46259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46259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46259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46259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46259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46259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46259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46259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46259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46259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46259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46259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46259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46259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46259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46259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2026-08-25T01:53:06Z</dcterms:created>
  <dcterms:modified xmlns:dcterms="http://purl.org/dc/terms/" xmlns:xsi="http://www.w3.org/2001/XMLSchema-instance" xsi:type="dcterms:W3CDTF">2026-08-25T01:53:06Z</dcterms:modified>
</cp:coreProperties>
</file>