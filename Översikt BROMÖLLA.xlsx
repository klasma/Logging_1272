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46313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46313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46313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46313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46313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46313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46313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46313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17396-2024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45414</v>
      </c>
      <c r="E15" s="1" t="n">
        <v>46313</v>
      </c>
      <c r="F15" t="inlineStr">
        <is>
          <t>SKÅNE LÄN</t>
        </is>
      </c>
      <c r="G15" t="inlineStr">
        <is>
          <t>BROMÖLLA</t>
        </is>
      </c>
      <c r="I15" t="n">
        <v>1.8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Safsa</t>
        </is>
      </c>
      <c r="W15">
        <f>HYPERLINK("https://klasma.github.io/Logging_1272/artfynd/A 17396-2024 artfynd.xlsx", "A 17396-2024")</f>
        <v/>
      </c>
      <c r="X15">
        <f>HYPERLINK("https://klasma.github.io/Logging_1272/kartor/A 17396-2024 karta.png", "A 17396-2024")</f>
        <v/>
      </c>
      <c r="Y15">
        <f>HYPERLINK("https://klasma.github.io/Logging_1272/kartor_geotiff/A 17396-2024 georefererad karta.tif", "A 17396-2024")</f>
        <v/>
      </c>
      <c r="AA15">
        <f>HYPERLINK("https://klasma.github.io/Logging_1272/klagomål/A 17396-2024 FSC-klagomål.docx", "A 17396-2024")</f>
        <v/>
      </c>
      <c r="AB15">
        <f>HYPERLINK("https://klasma.github.io/Logging_1272/klagomålsmail/A 17396-2024 FSC-klagomål mail.docx", "A 17396-2024")</f>
        <v/>
      </c>
      <c r="AC15">
        <f>HYPERLINK("https://klasma.github.io/Logging_1272/tillsyn/A 17396-2024 tillsynsbegäran.docx", "A 17396-2024")</f>
        <v/>
      </c>
      <c r="AD15">
        <f>HYPERLINK("https://klasma.github.io/Logging_1272/tillsynsmail/A 17396-2024 tillsynsbegäran mail.docx", "A 17396-2024")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46313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52972-2023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46313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HYPERLINK("https://klasma.github.io/Logging_1272/artfynd/A 52972-2023 artfynd.xlsx", "A 52972-2023")</f>
        <v/>
      </c>
      <c r="X17">
        <f>HYPERLINK("https://klasma.github.io/Logging_1272/kartor/A 52972-2023 karta.png", "A 52972-2023")</f>
        <v/>
      </c>
      <c r="Y17">
        <f>HYPERLINK("https://klasma.github.io/Logging_1272/kartor_geotiff/A 52972-2023 georefererad karta.tif", "A 52972-2023")</f>
        <v/>
      </c>
      <c r="AA17">
        <f>HYPERLINK("https://klasma.github.io/Logging_1272/klagomål/A 52972-2023 FSC-klagomål.docx", "A 52972-2023")</f>
        <v/>
      </c>
      <c r="AB17">
        <f>HYPERLINK("https://klasma.github.io/Logging_1272/klagomålsmail/A 52972-2023 FSC-klagomål mail.docx", "A 52972-2023")</f>
        <v/>
      </c>
      <c r="AC17">
        <f>HYPERLINK("https://klasma.github.io/Logging_1272/tillsyn/A 52972-2023 tillsynsbegäran.docx", "A 52972-2023")</f>
        <v/>
      </c>
      <c r="AD17">
        <f>HYPERLINK("https://klasma.github.io/Logging_1272/tillsynsmail/A 52972-2023 tillsynsbegäran mail.docx", "A 52972-2023")</f>
        <v/>
      </c>
    </row>
    <row r="18" ht="15" customHeight="1">
      <c r="A18" t="inlineStr">
        <is>
          <t>A 17522-2026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46313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Sminkrot</t>
        </is>
      </c>
      <c r="W18">
        <f>HYPERLINK("https://klasma.github.io/Logging_1272/artfynd/A 17522-2026 artfynd.xlsx", "A 17522-2026")</f>
        <v/>
      </c>
      <c r="X18">
        <f>HYPERLINK("https://klasma.github.io/Logging_1272/kartor/A 17522-2026 karta.png", "A 17522-2026")</f>
        <v/>
      </c>
      <c r="Y18">
        <f>HYPERLINK("https://klasma.github.io/Logging_1272/kartor_geotiff/A 17522-2026 georefererad karta.tif", "A 17522-2026")</f>
        <v/>
      </c>
      <c r="AA18">
        <f>HYPERLINK("https://klasma.github.io/Logging_1272/klagomål/A 17522-2026 FSC-klagomål.docx", "A 17522-2026")</f>
        <v/>
      </c>
      <c r="AB18">
        <f>HYPERLINK("https://klasma.github.io/Logging_1272/klagomålsmail/A 17522-2026 FSC-klagomål mail.docx", "A 17522-2026")</f>
        <v/>
      </c>
      <c r="AC18">
        <f>HYPERLINK("https://klasma.github.io/Logging_1272/tillsyn/A 17522-2026 tillsynsbegäran.docx", "A 17522-2026")</f>
        <v/>
      </c>
      <c r="AD18">
        <f>HYPERLINK("https://klasma.github.io/Logging_1272/tillsynsmail/A 17522-2026 tillsynsbegäran mail.docx", "A 17522-2026")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46313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46313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46313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46313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46313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46313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46313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46313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46313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46313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46313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46313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46313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46313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46313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46313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21980-2023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46313</v>
      </c>
      <c r="F35" t="inlineStr">
        <is>
          <t>SKÅNE LÄN</t>
        </is>
      </c>
      <c r="G35" t="inlineStr">
        <is>
          <t>BROMÖLLA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39455-2024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45551</v>
      </c>
      <c r="E36" s="1" t="n">
        <v>46313</v>
      </c>
      <c r="F36" t="inlineStr">
        <is>
          <t>SKÅNE LÄN</t>
        </is>
      </c>
      <c r="G36" t="inlineStr">
        <is>
          <t>BROMÖLLA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46313</v>
      </c>
      <c r="F37" t="inlineStr">
        <is>
          <t>SKÅNE LÄN</t>
        </is>
      </c>
      <c r="G37" t="inlineStr">
        <is>
          <t>BROMÖLLA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46313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46313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46313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46313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46313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46313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46313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46313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46313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46313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46313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46313</v>
      </c>
      <c r="F49" t="inlineStr">
        <is>
          <t>SKÅNE LÄN</t>
        </is>
      </c>
      <c r="G49" t="inlineStr">
        <is>
          <t>BROMÖLLA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49831-2022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46313</v>
      </c>
      <c r="F50" t="inlineStr">
        <is>
          <t>SKÅNE LÄN</t>
        </is>
      </c>
      <c r="G50" t="inlineStr">
        <is>
          <t>BROMÖLLA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34216-2023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45126</v>
      </c>
      <c r="E51" s="1" t="n">
        <v>46313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46313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46136</v>
      </c>
      <c r="E53" s="1" t="n">
        <v>46313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46313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28870-2023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46313</v>
      </c>
      <c r="F55" t="inlineStr">
        <is>
          <t>SKÅNE LÄN</t>
        </is>
      </c>
      <c r="G55" t="inlineStr">
        <is>
          <t>BROMÖLLA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12685-2024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46313</v>
      </c>
      <c r="F56" t="inlineStr">
        <is>
          <t>SKÅNE LÄN</t>
        </is>
      </c>
      <c r="G56" t="inlineStr">
        <is>
          <t>BROMÖLLA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45622</v>
      </c>
      <c r="E57" s="1" t="n">
        <v>46313</v>
      </c>
      <c r="F57" t="inlineStr">
        <is>
          <t>SKÅNE LÄN</t>
        </is>
      </c>
      <c r="G57" t="inlineStr">
        <is>
          <t>BROMÖLLA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46313</v>
      </c>
      <c r="F58" t="inlineStr">
        <is>
          <t>SKÅNE LÄN</t>
        </is>
      </c>
      <c r="G58" t="inlineStr">
        <is>
          <t>BROMÖLLA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46313</v>
      </c>
      <c r="F59" t="inlineStr">
        <is>
          <t>SKÅNE LÄN</t>
        </is>
      </c>
      <c r="G59" t="inlineStr">
        <is>
          <t>BROMÖLLA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46313</v>
      </c>
      <c r="F60" t="inlineStr">
        <is>
          <t>SKÅNE LÄN</t>
        </is>
      </c>
      <c r="G60" t="inlineStr">
        <is>
          <t>BROMÖLLA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45300</v>
      </c>
      <c r="E61" s="1" t="n">
        <v>46313</v>
      </c>
      <c r="F61" t="inlineStr">
        <is>
          <t>SKÅNE LÄN</t>
        </is>
      </c>
      <c r="G61" t="inlineStr">
        <is>
          <t>BROMÖLLA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46313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46313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46313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46313</v>
      </c>
      <c r="F65" t="inlineStr">
        <is>
          <t>SKÅNE LÄN</t>
        </is>
      </c>
      <c r="G65" t="inlineStr">
        <is>
          <t>BROMÖLLA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45866</v>
      </c>
      <c r="E66" s="1" t="n">
        <v>46313</v>
      </c>
      <c r="F66" t="inlineStr">
        <is>
          <t>SKÅNE LÄN</t>
        </is>
      </c>
      <c r="G66" t="inlineStr">
        <is>
          <t>BROMÖLLA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46313</v>
      </c>
      <c r="F67" t="inlineStr">
        <is>
          <t>SKÅNE LÄN</t>
        </is>
      </c>
      <c r="G67" t="inlineStr">
        <is>
          <t>BROMÖLLA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44911</v>
      </c>
      <c r="E68" s="1" t="n">
        <v>46313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8366-2026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46313</v>
      </c>
      <c r="F69" t="inlineStr">
        <is>
          <t>SKÅNE LÄN</t>
        </is>
      </c>
      <c r="G69" t="inlineStr">
        <is>
          <t>BROMÖLLA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9508-2026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46313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46313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46313</v>
      </c>
      <c r="F72" t="inlineStr">
        <is>
          <t>SKÅNE LÄN</t>
        </is>
      </c>
      <c r="G72" t="inlineStr">
        <is>
          <t>BROMÖLLA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31404-2025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46313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28129-2026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46195</v>
      </c>
      <c r="E74" s="1" t="n">
        <v>46313</v>
      </c>
      <c r="F74" t="inlineStr">
        <is>
          <t>SKÅNE LÄN</t>
        </is>
      </c>
      <c r="G74" t="inlineStr">
        <is>
          <t>BROMÖLLA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46313</v>
      </c>
      <c r="F75" t="inlineStr">
        <is>
          <t>SKÅNE LÄN</t>
        </is>
      </c>
      <c r="G75" t="inlineStr">
        <is>
          <t>BROMÖLLA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45299</v>
      </c>
      <c r="E76" s="1" t="n">
        <v>46313</v>
      </c>
      <c r="F76" t="inlineStr">
        <is>
          <t>SKÅNE LÄN</t>
        </is>
      </c>
      <c r="G76" t="inlineStr">
        <is>
          <t>BROMÖLLA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46313</v>
      </c>
      <c r="F77" t="inlineStr">
        <is>
          <t>SKÅNE LÄN</t>
        </is>
      </c>
      <c r="G77" t="inlineStr">
        <is>
          <t>BROMÖLLA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45243</v>
      </c>
      <c r="E78" s="1" t="n">
        <v>46313</v>
      </c>
      <c r="F78" t="inlineStr">
        <is>
          <t>SKÅNE LÄN</t>
        </is>
      </c>
      <c r="G78" t="inlineStr">
        <is>
          <t>BROMÖLLA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46313</v>
      </c>
      <c r="F79" t="inlineStr">
        <is>
          <t>SKÅNE LÄN</t>
        </is>
      </c>
      <c r="G79" t="inlineStr">
        <is>
          <t>BROMÖLLA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46313</v>
      </c>
      <c r="F80" t="inlineStr">
        <is>
          <t>SKÅNE LÄN</t>
        </is>
      </c>
      <c r="G80" t="inlineStr">
        <is>
          <t>BROMÖLLA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46313</v>
      </c>
      <c r="F81" t="inlineStr">
        <is>
          <t>SKÅNE LÄN</t>
        </is>
      </c>
      <c r="G81" t="inlineStr">
        <is>
          <t>BROMÖLLA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46313</v>
      </c>
      <c r="F82" t="inlineStr">
        <is>
          <t>SKÅNE LÄN</t>
        </is>
      </c>
      <c r="G82" t="inlineStr">
        <is>
          <t>BROMÖLLA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46313</v>
      </c>
      <c r="F83" t="inlineStr">
        <is>
          <t>SKÅNE LÄN</t>
        </is>
      </c>
      <c r="G83" t="inlineStr">
        <is>
          <t>BROMÖLLA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46313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46313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45148</v>
      </c>
      <c r="E86" s="1" t="n">
        <v>46313</v>
      </c>
      <c r="F86" t="inlineStr">
        <is>
          <t>SKÅNE LÄN</t>
        </is>
      </c>
      <c r="G86" t="inlineStr">
        <is>
          <t>BROMÖLLA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46313</v>
      </c>
      <c r="F87" t="inlineStr">
        <is>
          <t>SKÅNE LÄN</t>
        </is>
      </c>
      <c r="G87" t="inlineStr">
        <is>
          <t>BROMÖLLA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31649-2023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46313</v>
      </c>
      <c r="F88" t="inlineStr">
        <is>
          <t>SKÅNE LÄN</t>
        </is>
      </c>
      <c r="G88" t="inlineStr">
        <is>
          <t>BROMÖLLA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46313</v>
      </c>
      <c r="F89" t="inlineStr">
        <is>
          <t>SKÅNE LÄN</t>
        </is>
      </c>
      <c r="G89" t="inlineStr">
        <is>
          <t>BROMÖLLA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46313</v>
      </c>
      <c r="F90" t="inlineStr">
        <is>
          <t>SKÅNE LÄN</t>
        </is>
      </c>
      <c r="G90" t="inlineStr">
        <is>
          <t>BROMÖLLA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46313</v>
      </c>
      <c r="F91" t="inlineStr">
        <is>
          <t>SKÅNE LÄN</t>
        </is>
      </c>
      <c r="G91" t="inlineStr">
        <is>
          <t>BROMÖLLA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46313</v>
      </c>
      <c r="F92" t="inlineStr">
        <is>
          <t>SKÅNE LÄN</t>
        </is>
      </c>
      <c r="G92" t="inlineStr">
        <is>
          <t>BROMÖLLA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40177-2026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46290</v>
      </c>
      <c r="E93" s="1" t="n">
        <v>46313</v>
      </c>
      <c r="F93" t="inlineStr">
        <is>
          <t>SKÅNE LÄN</t>
        </is>
      </c>
      <c r="G93" t="inlineStr">
        <is>
          <t>BROMÖLLA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46313</v>
      </c>
      <c r="F94" t="inlineStr">
        <is>
          <t>SKÅNE LÄN</t>
        </is>
      </c>
      <c r="G94" t="inlineStr">
        <is>
          <t>BROMÖLLA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46313</v>
      </c>
      <c r="F95" t="inlineStr">
        <is>
          <t>SKÅNE LÄN</t>
        </is>
      </c>
      <c r="G95" t="inlineStr">
        <is>
          <t>BROMÖLLA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46313</v>
      </c>
      <c r="F96" t="inlineStr">
        <is>
          <t>SKÅNE LÄN</t>
        </is>
      </c>
      <c r="G96" t="inlineStr">
        <is>
          <t>BROMÖLLA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46313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46313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46733-2023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45195</v>
      </c>
      <c r="E99" s="1" t="n">
        <v>46313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46300</v>
      </c>
      <c r="E100" s="1" t="n">
        <v>46313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46313</v>
      </c>
      <c r="F101" t="inlineStr">
        <is>
          <t>SKÅNE LÄN</t>
        </is>
      </c>
      <c r="G101" t="inlineStr">
        <is>
          <t>BROMÖLLA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46313</v>
      </c>
      <c r="F102" t="inlineStr">
        <is>
          <t>SKÅNE LÄN</t>
        </is>
      </c>
      <c r="G102" t="inlineStr">
        <is>
          <t>BROMÖLLA</t>
        </is>
      </c>
      <c r="I102" t="n">
        <v>15.6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46313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45629</v>
      </c>
      <c r="E104" s="1" t="n">
        <v>46313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46313</v>
      </c>
      <c r="F105" t="inlineStr">
        <is>
          <t>SKÅNE LÄN</t>
        </is>
      </c>
      <c r="G105" t="inlineStr">
        <is>
          <t>BROMÖLLA</t>
        </is>
      </c>
      <c r="I105" t="n">
        <v>12.7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46313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46313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46313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46313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46313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46313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46313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46313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46313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46313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46313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46313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46313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46313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46313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46313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46313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46313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2026-10-18T08:09:21Z</dcterms:created>
  <dcterms:modified xmlns:dcterms="http://purl.org/dc/terms/" xmlns:xsi="http://www.w3.org/2001/XMLSchema-instance" xsi:type="dcterms:W3CDTF">2026-10-18T08:09:21Z</dcterms:modified>
</cp:coreProperties>
</file>