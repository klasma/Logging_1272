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46228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46228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46228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46228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8362-2026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46064</v>
      </c>
      <c r="E13" s="1" t="n">
        <v>46228</v>
      </c>
      <c r="F13" t="inlineStr">
        <is>
          <t>SKÅNE LÄN</t>
        </is>
      </c>
      <c r="G13" t="inlineStr">
        <is>
          <t>BROMÖLLA</t>
        </is>
      </c>
      <c r="I13" t="n">
        <v>2.7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Rödlånke</t>
        </is>
      </c>
      <c r="W13">
        <f>HYPERLINK("https://klasma.github.io/Logging_1272/artfynd/A 8362-2026 artfynd.xlsx", "A 8362-2026")</f>
        <v/>
      </c>
      <c r="X13">
        <f>HYPERLINK("https://klasma.github.io/Logging_1272/kartor/A 8362-2026 karta.png", "A 8362-2026")</f>
        <v/>
      </c>
      <c r="Y13">
        <f>HYPERLINK("https://klasma.github.io/Logging_1272/kartor_geotiff/A 8362-2026 georefererad karta.tif", "A 8362-2026")</f>
        <v/>
      </c>
      <c r="AA13">
        <f>HYPERLINK("https://klasma.github.io/Logging_1272/klagomål/A 8362-2026 FSC-klagomål.docx", "A 8362-2026")</f>
        <v/>
      </c>
      <c r="AB13">
        <f>HYPERLINK("https://klasma.github.io/Logging_1272/klagomålsmail/A 8362-2026 FSC-klagomål mail.docx", "A 8362-2026")</f>
        <v/>
      </c>
      <c r="AC13">
        <f>HYPERLINK("https://klasma.github.io/Logging_1272/tillsyn/A 8362-2026 tillsynsbegäran.docx", "A 8362-2026")</f>
        <v/>
      </c>
      <c r="AD13">
        <f>HYPERLINK("https://klasma.github.io/Logging_1272/tillsynsmail/A 8362-2026 tillsynsbegäran mail.docx", "A 8362-2026")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46228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HYPERLINK("https://klasma.github.io/Logging_1272/artfynd/A 52972-2023 artfynd.xlsx", "A 52972-2023")</f>
        <v/>
      </c>
      <c r="X14">
        <f>HYPERLINK("https://klasma.github.io/Logging_1272/kartor/A 52972-2023 karta.png", "A 52972-2023")</f>
        <v/>
      </c>
      <c r="Y14">
        <f>HYPERLINK("https://klasma.github.io/Logging_1272/kartor_geotiff/A 52972-2023 georefererad karta.tif", "A 52972-2023")</f>
        <v/>
      </c>
      <c r="AA14">
        <f>HYPERLINK("https://klasma.github.io/Logging_1272/klagomål/A 52972-2023 FSC-klagomål.docx", "A 52972-2023")</f>
        <v/>
      </c>
      <c r="AB14">
        <f>HYPERLINK("https://klasma.github.io/Logging_1272/klagomålsmail/A 52972-2023 FSC-klagomål mail.docx", "A 52972-2023")</f>
        <v/>
      </c>
      <c r="AC14">
        <f>HYPERLINK("https://klasma.github.io/Logging_1272/tillsyn/A 52972-2023 tillsynsbegäran.docx", "A 52972-2023")</f>
        <v/>
      </c>
      <c r="AD14">
        <f>HYPERLINK("https://klasma.github.io/Logging_1272/tillsynsmail/A 52972-2023 tillsynsbegäran mail.docx", "A 52972-2023")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46228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46228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46228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46228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46228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46228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46228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46228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46228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46228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46228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46228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46228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46228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46228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46228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46228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45306</v>
      </c>
      <c r="E41" s="1" t="n">
        <v>46228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56056-2023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46228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46228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46228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46228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46228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46228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46228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46228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46228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46228</v>
      </c>
      <c r="F51" t="inlineStr">
        <is>
          <t>SKÅNE LÄN</t>
        </is>
      </c>
      <c r="G51" t="inlineStr">
        <is>
          <t>BROMÖLLA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43276-2023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46228</v>
      </c>
      <c r="F52" t="inlineStr">
        <is>
          <t>SKÅNE LÄN</t>
        </is>
      </c>
      <c r="G52" t="inlineStr">
        <is>
          <t>BROMÖLLA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46228</v>
      </c>
      <c r="F53" t="inlineStr">
        <is>
          <t>SKÅNE LÄN</t>
        </is>
      </c>
      <c r="G53" t="inlineStr">
        <is>
          <t>BROMÖLLA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45365</v>
      </c>
      <c r="E54" s="1" t="n">
        <v>46228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46228</v>
      </c>
      <c r="F55" t="inlineStr">
        <is>
          <t>SKÅNE LÄN</t>
        </is>
      </c>
      <c r="G55" t="inlineStr">
        <is>
          <t>BROMÖLLA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34216-2023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45126</v>
      </c>
      <c r="E56" s="1" t="n">
        <v>46228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35798-2023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45148</v>
      </c>
      <c r="E57" s="1" t="n">
        <v>46228</v>
      </c>
      <c r="F57" t="inlineStr">
        <is>
          <t>SKÅNE LÄN</t>
        </is>
      </c>
      <c r="G57" t="inlineStr">
        <is>
          <t>BROMÖLLA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46228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20136-2026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46136</v>
      </c>
      <c r="E59" s="1" t="n">
        <v>46228</v>
      </c>
      <c r="F59" t="inlineStr">
        <is>
          <t>SKÅNE LÄN</t>
        </is>
      </c>
      <c r="G59" t="inlineStr">
        <is>
          <t>BROMÖLLA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28870-2023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45104</v>
      </c>
      <c r="E60" s="1" t="n">
        <v>46228</v>
      </c>
      <c r="F60" t="inlineStr">
        <is>
          <t>SKÅNE LÄN</t>
        </is>
      </c>
      <c r="G60" t="inlineStr">
        <is>
          <t>BROMÖLLA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12685-2024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46228</v>
      </c>
      <c r="F61" t="inlineStr">
        <is>
          <t>SKÅNE LÄN</t>
        </is>
      </c>
      <c r="G61" t="inlineStr">
        <is>
          <t>BROMÖLLA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45622</v>
      </c>
      <c r="E62" s="1" t="n">
        <v>46228</v>
      </c>
      <c r="F62" t="inlineStr">
        <is>
          <t>SKÅNE LÄN</t>
        </is>
      </c>
      <c r="G62" t="inlineStr">
        <is>
          <t>BROMÖLLA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11861-2025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46228</v>
      </c>
      <c r="F63" t="inlineStr">
        <is>
          <t>SKÅNE LÄN</t>
        </is>
      </c>
      <c r="G63" t="inlineStr">
        <is>
          <t>BROMÖLLA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45300</v>
      </c>
      <c r="E64" s="1" t="n">
        <v>46228</v>
      </c>
      <c r="F64" t="inlineStr">
        <is>
          <t>SKÅNE LÄN</t>
        </is>
      </c>
      <c r="G64" t="inlineStr">
        <is>
          <t>BROMÖLLA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55762-2025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46228</v>
      </c>
      <c r="F65" t="inlineStr">
        <is>
          <t>SKÅNE LÄN</t>
        </is>
      </c>
      <c r="G65" t="inlineStr">
        <is>
          <t>BROMÖLLA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28129-2026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46228</v>
      </c>
      <c r="F66" t="inlineStr">
        <is>
          <t>SKÅNE LÄN</t>
        </is>
      </c>
      <c r="G66" t="inlineStr">
        <is>
          <t>BROMÖLLA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46228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46228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46228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45866</v>
      </c>
      <c r="E70" s="1" t="n">
        <v>46228</v>
      </c>
      <c r="F70" t="inlineStr">
        <is>
          <t>SKÅNE LÄN</t>
        </is>
      </c>
      <c r="G70" t="inlineStr">
        <is>
          <t>BROMÖLLA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39284-2025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46228</v>
      </c>
      <c r="F71" t="inlineStr">
        <is>
          <t>SKÅNE LÄN</t>
        </is>
      </c>
      <c r="G71" t="inlineStr">
        <is>
          <t>BROMÖLLA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44911</v>
      </c>
      <c r="E72" s="1" t="n">
        <v>46228</v>
      </c>
      <c r="F72" t="inlineStr">
        <is>
          <t>SKÅNE LÄN</t>
        </is>
      </c>
      <c r="G72" t="inlineStr">
        <is>
          <t>BROMÖLLA</t>
        </is>
      </c>
      <c r="H72" t="inlineStr">
        <is>
          <t>Kyrkan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44804</v>
      </c>
      <c r="E73" s="1" t="n">
        <v>46228</v>
      </c>
      <c r="F73" t="inlineStr">
        <is>
          <t>SKÅNE LÄN</t>
        </is>
      </c>
      <c r="G73" t="inlineStr">
        <is>
          <t>BROMÖLLA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46228</v>
      </c>
      <c r="F74" t="inlineStr">
        <is>
          <t>SKÅNE LÄN</t>
        </is>
      </c>
      <c r="G74" t="inlineStr">
        <is>
          <t>BROMÖLLA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46071</v>
      </c>
      <c r="E75" s="1" t="n">
        <v>46228</v>
      </c>
      <c r="F75" t="inlineStr">
        <is>
          <t>SKÅNE LÄN</t>
        </is>
      </c>
      <c r="G75" t="inlineStr">
        <is>
          <t>BROMÖLLA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46071</v>
      </c>
      <c r="E76" s="1" t="n">
        <v>46228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45833</v>
      </c>
      <c r="E77" s="1" t="n">
        <v>46228</v>
      </c>
      <c r="F77" t="inlineStr">
        <is>
          <t>SKÅNE LÄN</t>
        </is>
      </c>
      <c r="G77" t="inlineStr">
        <is>
          <t>BROMÖLLA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46228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46228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24528-2026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46170</v>
      </c>
      <c r="E80" s="1" t="n">
        <v>46228</v>
      </c>
      <c r="F80" t="inlineStr">
        <is>
          <t>SKÅNE LÄN</t>
        </is>
      </c>
      <c r="G80" t="inlineStr">
        <is>
          <t>BROMÖLLA</t>
        </is>
      </c>
      <c r="I80" t="n">
        <v>13.5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46228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45243</v>
      </c>
      <c r="E82" s="1" t="n">
        <v>46228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44433</v>
      </c>
      <c r="E83" s="1" t="n">
        <v>46228</v>
      </c>
      <c r="F83" t="inlineStr">
        <is>
          <t>SKÅNE LÄN</t>
        </is>
      </c>
      <c r="G83" t="inlineStr">
        <is>
          <t>BROMÖLLA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46228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46228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46228</v>
      </c>
      <c r="F86" t="inlineStr">
        <is>
          <t>SKÅNE LÄN</t>
        </is>
      </c>
      <c r="G86" t="inlineStr">
        <is>
          <t>BROMÖLLA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32272-2024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45512</v>
      </c>
      <c r="E87" s="1" t="n">
        <v>46228</v>
      </c>
      <c r="F87" t="inlineStr">
        <is>
          <t>SKÅNE LÄN</t>
        </is>
      </c>
      <c r="G87" t="inlineStr">
        <is>
          <t>BROMÖLLA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46228</v>
      </c>
      <c r="F88" t="inlineStr">
        <is>
          <t>SKÅNE LÄN</t>
        </is>
      </c>
      <c r="G88" t="inlineStr">
        <is>
          <t>BROMÖLLA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46228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26477-2026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46183</v>
      </c>
      <c r="E90" s="1" t="n">
        <v>46228</v>
      </c>
      <c r="F90" t="inlineStr">
        <is>
          <t>SKÅNE LÄN</t>
        </is>
      </c>
      <c r="G90" t="inlineStr">
        <is>
          <t>BROMÖLLA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46228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46228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46228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46228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46228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46228</v>
      </c>
      <c r="F96" t="inlineStr">
        <is>
          <t>SKÅNE LÄN</t>
        </is>
      </c>
      <c r="G96" t="inlineStr">
        <is>
          <t>BROMÖLLA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30075-2023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45110</v>
      </c>
      <c r="E97" s="1" t="n">
        <v>46228</v>
      </c>
      <c r="F97" t="inlineStr">
        <is>
          <t>SKÅNE LÄN</t>
        </is>
      </c>
      <c r="G97" t="inlineStr">
        <is>
          <t>BROMÖLLA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46228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46228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46228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46228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46228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45491</v>
      </c>
      <c r="E103" s="1" t="n">
        <v>46228</v>
      </c>
      <c r="F103" t="inlineStr">
        <is>
          <t>SKÅNE LÄN</t>
        </is>
      </c>
      <c r="G103" t="inlineStr">
        <is>
          <t>BROMÖLLA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46228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46228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46228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46228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46228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46228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46228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46228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46228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46228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46228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46228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46228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46228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46228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46228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46228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46228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46228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2026-07-25T01:49:06Z</dcterms:created>
  <dcterms:modified xmlns:dcterms="http://purl.org/dc/terms/" xmlns:xsi="http://www.w3.org/2001/XMLSchema-instance" xsi:type="dcterms:W3CDTF">2026-07-25T01:49:06Z</dcterms:modified>
</cp:coreProperties>
</file>