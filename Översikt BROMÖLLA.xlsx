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46193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20426-2023</t>
        </is>
      </c>
      <c r="B6" s="1" t="n">
        <v>45056</v>
      </c>
      <c r="C6" s="1" t="n">
        <v>46193</v>
      </c>
      <c r="D6" t="inlineStr">
        <is>
          <t>SKÅNE LÄN</t>
        </is>
      </c>
      <c r="E6" t="inlineStr">
        <is>
          <t>BROMÖLLA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Hålnunneört</t>
        </is>
      </c>
      <c r="S6">
        <f>HYPERLINK("https://klasma.github.io/Logging_1272/artfynd/A 20426-2023 artfynd.xlsx", "A 20426-2023")</f>
        <v/>
      </c>
      <c r="T6">
        <f>HYPERLINK("https://klasma.github.io/Logging_1272/kartor/A 20426-2023 karta.png", "A 20426-2023")</f>
        <v/>
      </c>
      <c r="V6">
        <f>HYPERLINK("https://klasma.github.io/Logging_1272/klagomål/A 20426-2023 FSC-klagomål.docx", "A 20426-2023")</f>
        <v/>
      </c>
      <c r="W6">
        <f>HYPERLINK("https://klasma.github.io/Logging_1272/klagomålsmail/A 20426-2023 FSC-klagomål mail.docx", "A 20426-2023")</f>
        <v/>
      </c>
      <c r="X6">
        <f>HYPERLINK("https://klasma.github.io/Logging_1272/tillsyn/A 20426-2023 tillsynsbegäran.docx", "A 20426-2023")</f>
        <v/>
      </c>
      <c r="Y6">
        <f>HYPERLINK("https://klasma.github.io/Logging_1272/tillsynsmail/A 20426-2023 tillsynsbegäran mail.docx", "A 20426-2023")</f>
        <v/>
      </c>
    </row>
    <row r="7" ht="15" customHeight="1">
      <c r="A7" t="inlineStr">
        <is>
          <t>A 52972-2023</t>
        </is>
      </c>
      <c r="B7" s="1" t="n">
        <v>45222</v>
      </c>
      <c r="C7" s="1" t="n">
        <v>46193</v>
      </c>
      <c r="D7" t="inlineStr">
        <is>
          <t>SKÅNE LÄN</t>
        </is>
      </c>
      <c r="E7" t="inlineStr">
        <is>
          <t>BROMÖLLA</t>
        </is>
      </c>
      <c r="G7" t="n">
        <v>6.4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HYPERLINK("https://klasma.github.io/Logging_1272/artfynd/A 52972-2023 artfynd.xlsx", "A 52972-2023")</f>
        <v/>
      </c>
      <c r="T7">
        <f>HYPERLINK("https://klasma.github.io/Logging_1272/kartor/A 52972-2023 karta.png", "A 52972-2023")</f>
        <v/>
      </c>
      <c r="V7">
        <f>HYPERLINK("https://klasma.github.io/Logging_1272/klagomål/A 52972-2023 FSC-klagomål.docx", "A 52972-2023")</f>
        <v/>
      </c>
      <c r="W7">
        <f>HYPERLINK("https://klasma.github.io/Logging_1272/klagomålsmail/A 52972-2023 FSC-klagomål mail.docx", "A 52972-2023")</f>
        <v/>
      </c>
      <c r="X7">
        <f>HYPERLINK("https://klasma.github.io/Logging_1272/tillsyn/A 52972-2023 tillsynsbegäran.docx", "A 52972-2023")</f>
        <v/>
      </c>
      <c r="Y7">
        <f>HYPERLINK("https://klasma.github.io/Logging_1272/tillsynsmail/A 52972-2023 tillsynsbegäran mail.docx", "A 52972-2023")</f>
        <v/>
      </c>
    </row>
    <row r="8" ht="15" customHeight="1">
      <c r="A8" t="inlineStr">
        <is>
          <t>A 24688-2025</t>
        </is>
      </c>
      <c r="B8" s="1" t="n">
        <v>45798</v>
      </c>
      <c r="C8" s="1" t="n">
        <v>46193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Järnsparv</t>
        </is>
      </c>
      <c r="S8">
        <f>HYPERLINK("https://klasma.github.io/Logging_1272/artfynd/A 24688-2025 artfynd.xlsx", "A 24688-2025")</f>
        <v/>
      </c>
      <c r="T8">
        <f>HYPERLINK("https://klasma.github.io/Logging_1272/kartor/A 24688-2025 karta.png", "A 24688-2025")</f>
        <v/>
      </c>
      <c r="V8">
        <f>HYPERLINK("https://klasma.github.io/Logging_1272/klagomål/A 24688-2025 FSC-klagomål.docx", "A 24688-2025")</f>
        <v/>
      </c>
      <c r="W8">
        <f>HYPERLINK("https://klasma.github.io/Logging_1272/klagomålsmail/A 24688-2025 FSC-klagomål mail.docx", "A 24688-2025")</f>
        <v/>
      </c>
      <c r="X8">
        <f>HYPERLINK("https://klasma.github.io/Logging_1272/tillsyn/A 24688-2025 tillsynsbegäran.docx", "A 24688-2025")</f>
        <v/>
      </c>
      <c r="Y8">
        <f>HYPERLINK("https://klasma.github.io/Logging_1272/tillsynsmail/A 24688-2025 tillsynsbegäran mail.docx", "A 24688-2025")</f>
        <v/>
      </c>
      <c r="Z8">
        <f>HYPERLINK("https://klasma.github.io/Logging_1272/fåglar/A 24688-2025 prioriterade fågelarter.docx", "A 24688-2025")</f>
        <v/>
      </c>
    </row>
    <row r="9" ht="15" customHeight="1">
      <c r="A9" t="inlineStr">
        <is>
          <t>A 8362-2026</t>
        </is>
      </c>
      <c r="B9" s="1" t="n">
        <v>46064</v>
      </c>
      <c r="C9" s="1" t="n">
        <v>46193</v>
      </c>
      <c r="D9" t="inlineStr">
        <is>
          <t>SKÅNE LÄN</t>
        </is>
      </c>
      <c r="E9" t="inlineStr">
        <is>
          <t>BROMÖLLA</t>
        </is>
      </c>
      <c r="G9" t="n">
        <v>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Rödlånke</t>
        </is>
      </c>
      <c r="S9">
        <f>HYPERLINK("https://klasma.github.io/Logging_1272/artfynd/A 8362-2026 artfynd.xlsx", "A 8362-2026")</f>
        <v/>
      </c>
      <c r="T9">
        <f>HYPERLINK("https://klasma.github.io/Logging_1272/kartor/A 8362-2026 karta.png", "A 8362-2026")</f>
        <v/>
      </c>
      <c r="V9">
        <f>HYPERLINK("https://klasma.github.io/Logging_1272/klagomål/A 8362-2026 FSC-klagomål.docx", "A 8362-2026")</f>
        <v/>
      </c>
      <c r="W9">
        <f>HYPERLINK("https://klasma.github.io/Logging_1272/klagomålsmail/A 8362-2026 FSC-klagomål mail.docx", "A 8362-2026")</f>
        <v/>
      </c>
      <c r="X9">
        <f>HYPERLINK("https://klasma.github.io/Logging_1272/tillsyn/A 8362-2026 tillsynsbegäran.docx", "A 8362-2026")</f>
        <v/>
      </c>
      <c r="Y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46193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46193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46193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46193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46193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46193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46193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46193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46193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49831-2022</t>
        </is>
      </c>
      <c r="B19" s="1" t="n">
        <v>44862</v>
      </c>
      <c r="C19" s="1" t="n">
        <v>46193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42963-2022</t>
        </is>
      </c>
      <c r="B20" s="1" t="n">
        <v>44833</v>
      </c>
      <c r="C20" s="1" t="n">
        <v>46193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34216-2023</t>
        </is>
      </c>
      <c r="B21" s="1" t="n">
        <v>45126</v>
      </c>
      <c r="C21" s="1" t="n">
        <v>46193</v>
      </c>
      <c r="D21" t="inlineStr">
        <is>
          <t>SKÅNE LÄN</t>
        </is>
      </c>
      <c r="E21" t="inlineStr">
        <is>
          <t>BROMÖLLA</t>
        </is>
      </c>
      <c r="F21" t="inlineStr">
        <is>
          <t>Kyrkan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</v>
      </c>
      <c r="C22" s="1" t="n">
        <v>46193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42912-2024</t>
        </is>
      </c>
      <c r="B23" s="1" t="n">
        <v>45566</v>
      </c>
      <c r="C23" s="1" t="n">
        <v>46193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12721-2023</t>
        </is>
      </c>
      <c r="B24" s="1" t="n">
        <v>45000</v>
      </c>
      <c r="C24" s="1" t="n">
        <v>46193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43647-2021</t>
        </is>
      </c>
      <c r="B25" s="1" t="n">
        <v>44433</v>
      </c>
      <c r="C25" s="1" t="n">
        <v>46193</v>
      </c>
      <c r="D25" t="inlineStr">
        <is>
          <t>SKÅNE LÄN</t>
        </is>
      </c>
      <c r="E25" t="inlineStr">
        <is>
          <t>BROMÖLLA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59949-2021</t>
        </is>
      </c>
      <c r="B26" s="1" t="n">
        <v>44494</v>
      </c>
      <c r="C26" s="1" t="n">
        <v>46193</v>
      </c>
      <c r="D26" t="inlineStr">
        <is>
          <t>SKÅNE LÄN</t>
        </is>
      </c>
      <c r="E26" t="inlineStr">
        <is>
          <t>BROMÖLLA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47315-2023</t>
        </is>
      </c>
      <c r="B27" s="1" t="n">
        <v>45196</v>
      </c>
      <c r="C27" s="1" t="n">
        <v>46193</v>
      </c>
      <c r="D27" t="inlineStr">
        <is>
          <t>SKÅNE LÄN</t>
        </is>
      </c>
      <c r="E27" t="inlineStr">
        <is>
          <t>BROMÖLLA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61701-2022</t>
        </is>
      </c>
      <c r="B28" s="1" t="n">
        <v>44911</v>
      </c>
      <c r="C28" s="1" t="n">
        <v>46193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5816-2022</t>
        </is>
      </c>
      <c r="B29" s="1" t="n">
        <v>44596</v>
      </c>
      <c r="C29" s="1" t="n">
        <v>46193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</v>
      </c>
      <c r="C30" s="1" t="n">
        <v>46193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9006-2024</t>
        </is>
      </c>
      <c r="B31" s="1" t="n">
        <v>45357</v>
      </c>
      <c r="C31" s="1" t="n">
        <v>46193</v>
      </c>
      <c r="D31" t="inlineStr">
        <is>
          <t>SKÅNE LÄN</t>
        </is>
      </c>
      <c r="E31" t="inlineStr">
        <is>
          <t>BROMÖLLA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33255-2023</t>
        </is>
      </c>
      <c r="B32" s="1" t="n">
        <v>45127</v>
      </c>
      <c r="C32" s="1" t="n">
        <v>46193</v>
      </c>
      <c r="D32" t="inlineStr">
        <is>
          <t>SKÅNE LÄN</t>
        </is>
      </c>
      <c r="E32" t="inlineStr">
        <is>
          <t>BROMÖLLA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17517-2024</t>
        </is>
      </c>
      <c r="B33" s="1" t="n">
        <v>45415</v>
      </c>
      <c r="C33" s="1" t="n">
        <v>46193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10275-2024</t>
        </is>
      </c>
      <c r="B34" s="1" t="n">
        <v>45365</v>
      </c>
      <c r="C34" s="1" t="n">
        <v>46193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46193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12685-2024</t>
        </is>
      </c>
      <c r="B36" s="1" t="n">
        <v>45384</v>
      </c>
      <c r="C36" s="1" t="n">
        <v>46193</v>
      </c>
      <c r="D36" t="inlineStr">
        <is>
          <t>SKÅNE LÄN</t>
        </is>
      </c>
      <c r="E36" t="inlineStr">
        <is>
          <t>BROMÖLLA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</v>
      </c>
      <c r="C37" s="1" t="n">
        <v>46193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48738-2023</t>
        </is>
      </c>
      <c r="B38" s="1" t="n">
        <v>45208</v>
      </c>
      <c r="C38" s="1" t="n">
        <v>46193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39284-2025</t>
        </is>
      </c>
      <c r="B39" s="1" t="n">
        <v>45889</v>
      </c>
      <c r="C39" s="1" t="n">
        <v>46193</v>
      </c>
      <c r="D39" t="inlineStr">
        <is>
          <t>SKÅNE LÄN</t>
        </is>
      </c>
      <c r="E39" t="inlineStr">
        <is>
          <t>BROMÖLLA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42909-2024</t>
        </is>
      </c>
      <c r="B40" s="1" t="n">
        <v>45566</v>
      </c>
      <c r="C40" s="1" t="n">
        <v>46193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</v>
      </c>
      <c r="C41" s="1" t="n">
        <v>46193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</v>
      </c>
      <c r="C42" s="1" t="n">
        <v>46193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46193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31944-2024</t>
        </is>
      </c>
      <c r="B44" s="1" t="n">
        <v>45510</v>
      </c>
      <c r="C44" s="1" t="n">
        <v>46193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41309-2025</t>
        </is>
      </c>
      <c r="B45" s="1" t="n">
        <v>45898</v>
      </c>
      <c r="C45" s="1" t="n">
        <v>46193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28870-2023</t>
        </is>
      </c>
      <c r="B46" s="1" t="n">
        <v>45104</v>
      </c>
      <c r="C46" s="1" t="n">
        <v>46193</v>
      </c>
      <c r="D46" t="inlineStr">
        <is>
          <t>SKÅNE LÄN</t>
        </is>
      </c>
      <c r="E46" t="inlineStr">
        <is>
          <t>BROMÖLLA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814-2024</t>
        </is>
      </c>
      <c r="B47" s="1" t="n">
        <v>45300</v>
      </c>
      <c r="C47" s="1" t="n">
        <v>46193</v>
      </c>
      <c r="D47" t="inlineStr">
        <is>
          <t>SKÅNE LÄN</t>
        </is>
      </c>
      <c r="E47" t="inlineStr">
        <is>
          <t>BROMÖLLA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</v>
      </c>
      <c r="C48" s="1" t="n">
        <v>46193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46193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52307-2023</t>
        </is>
      </c>
      <c r="B50" s="1" t="n">
        <v>45217</v>
      </c>
      <c r="C50" s="1" t="n">
        <v>46193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</v>
      </c>
      <c r="C51" s="1" t="n">
        <v>46193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46193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56360-2023</t>
        </is>
      </c>
      <c r="B53" s="1" t="n">
        <v>45243</v>
      </c>
      <c r="C53" s="1" t="n">
        <v>46193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46193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</v>
      </c>
      <c r="C55" s="1" t="n">
        <v>46193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46193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</v>
      </c>
      <c r="C57" s="1" t="n">
        <v>46193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46193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</v>
      </c>
      <c r="C59" s="1" t="n">
        <v>46193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26765-2026</t>
        </is>
      </c>
      <c r="B60" s="1" t="n">
        <v>46184</v>
      </c>
      <c r="C60" s="1" t="n">
        <v>46193</v>
      </c>
      <c r="D60" t="inlineStr">
        <is>
          <t>SKÅNE LÄN</t>
        </is>
      </c>
      <c r="E60" t="inlineStr">
        <is>
          <t>BROMÖLLA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</v>
      </c>
      <c r="C61" s="1" t="n">
        <v>46193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46193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46193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</v>
      </c>
      <c r="C64" s="1" t="n">
        <v>46193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46193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</v>
      </c>
      <c r="C66" s="1" t="n">
        <v>46193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26477-2026</t>
        </is>
      </c>
      <c r="B67" s="1" t="n">
        <v>46183</v>
      </c>
      <c r="C67" s="1" t="n">
        <v>46193</v>
      </c>
      <c r="D67" t="inlineStr">
        <is>
          <t>SKÅNE LÄN</t>
        </is>
      </c>
      <c r="E67" t="inlineStr">
        <is>
          <t>BROMÖLLA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46193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745-2024</t>
        </is>
      </c>
      <c r="B69" s="1" t="n">
        <v>45300</v>
      </c>
      <c r="C69" s="1" t="n">
        <v>46193</v>
      </c>
      <c r="D69" t="inlineStr">
        <is>
          <t>SKÅNE LÄN</t>
        </is>
      </c>
      <c r="E69" t="inlineStr">
        <is>
          <t>BROMÖLLA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55762-2025</t>
        </is>
      </c>
      <c r="B70" s="1" t="n">
        <v>45972</v>
      </c>
      <c r="C70" s="1" t="n">
        <v>46193</v>
      </c>
      <c r="D70" t="inlineStr">
        <is>
          <t>SKÅNE LÄN</t>
        </is>
      </c>
      <c r="E70" t="inlineStr">
        <is>
          <t>BROMÖLLA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46193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60055-2025</t>
        </is>
      </c>
      <c r="B72" s="1" t="n">
        <v>45993</v>
      </c>
      <c r="C72" s="1" t="n">
        <v>46193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60698-2025</t>
        </is>
      </c>
      <c r="B73" s="1" t="n">
        <v>45996</v>
      </c>
      <c r="C73" s="1" t="n">
        <v>46193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60696-2025</t>
        </is>
      </c>
      <c r="B74" s="1" t="n">
        <v>45996</v>
      </c>
      <c r="C74" s="1" t="n">
        <v>46193</v>
      </c>
      <c r="D74" t="inlineStr">
        <is>
          <t>SKÅNE LÄN</t>
        </is>
      </c>
      <c r="E74" t="inlineStr">
        <is>
          <t>BROMÖLLA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46193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60961-2025</t>
        </is>
      </c>
      <c r="B76" s="1" t="n">
        <v>45999</v>
      </c>
      <c r="C76" s="1" t="n">
        <v>46193</v>
      </c>
      <c r="D76" t="inlineStr">
        <is>
          <t>SKÅNE LÄN</t>
        </is>
      </c>
      <c r="E76" t="inlineStr">
        <is>
          <t>BROMÖLLA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27965-2025</t>
        </is>
      </c>
      <c r="B77" s="1" t="n">
        <v>45817</v>
      </c>
      <c r="C77" s="1" t="n">
        <v>46193</v>
      </c>
      <c r="D77" t="inlineStr">
        <is>
          <t>SKÅNE LÄN</t>
        </is>
      </c>
      <c r="E77" t="inlineStr">
        <is>
          <t>BROMÖLLA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57181-2024</t>
        </is>
      </c>
      <c r="B78" s="1" t="n">
        <v>45629</v>
      </c>
      <c r="C78" s="1" t="n">
        <v>46193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46193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5961-2025</t>
        </is>
      </c>
      <c r="B80" s="1" t="n">
        <v>45695</v>
      </c>
      <c r="C80" s="1" t="n">
        <v>46193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46193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46193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</v>
      </c>
      <c r="C83" s="1" t="n">
        <v>46193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48974-2025</t>
        </is>
      </c>
      <c r="B84" s="1" t="n">
        <v>45937</v>
      </c>
      <c r="C84" s="1" t="n">
        <v>46193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46193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46193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8366-2026</t>
        </is>
      </c>
      <c r="B87" s="1" t="n">
        <v>46064</v>
      </c>
      <c r="C87" s="1" t="n">
        <v>46193</v>
      </c>
      <c r="D87" t="inlineStr">
        <is>
          <t>SKÅNE LÄN</t>
        </is>
      </c>
      <c r="E87" t="inlineStr">
        <is>
          <t>BROMÖLLA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9508-2026</t>
        </is>
      </c>
      <c r="B88" s="1" t="n">
        <v>46071</v>
      </c>
      <c r="C88" s="1" t="n">
        <v>46193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9509-2026</t>
        </is>
      </c>
      <c r="B89" s="1" t="n">
        <v>46071</v>
      </c>
      <c r="C89" s="1" t="n">
        <v>46193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31404-2025</t>
        </is>
      </c>
      <c r="B90" s="1" t="n">
        <v>45833</v>
      </c>
      <c r="C90" s="1" t="n">
        <v>46193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11454-2023</t>
        </is>
      </c>
      <c r="B91" s="1" t="n">
        <v>44993</v>
      </c>
      <c r="C91" s="1" t="n">
        <v>46193</v>
      </c>
      <c r="D91" t="inlineStr">
        <is>
          <t>SKÅNE LÄN</t>
        </is>
      </c>
      <c r="E91" t="inlineStr">
        <is>
          <t>BROMÖLLA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24528-2026</t>
        </is>
      </c>
      <c r="B92" s="1" t="n">
        <v>46170</v>
      </c>
      <c r="C92" s="1" t="n">
        <v>46193</v>
      </c>
      <c r="D92" t="inlineStr">
        <is>
          <t>SKÅNE LÄN</t>
        </is>
      </c>
      <c r="E92" t="inlineStr">
        <is>
          <t>BROMÖLLA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20136-2026</t>
        </is>
      </c>
      <c r="B93" s="1" t="n">
        <v>46136</v>
      </c>
      <c r="C93" s="1" t="n">
        <v>46193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51078-2025</t>
        </is>
      </c>
      <c r="B94" s="1" t="n">
        <v>45947</v>
      </c>
      <c r="C94" s="1" t="n">
        <v>46193</v>
      </c>
      <c r="D94" t="inlineStr">
        <is>
          <t>SKÅNE LÄN</t>
        </is>
      </c>
      <c r="E94" t="inlineStr">
        <is>
          <t>BROMÖLLA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32272-2024</t>
        </is>
      </c>
      <c r="B95" s="1" t="n">
        <v>45512</v>
      </c>
      <c r="C95" s="1" t="n">
        <v>46193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2026-06-20T00:48:38Z</dcterms:created>
  <dcterms:modified xmlns:dcterms="http://purl.org/dc/terms/" xmlns:xsi="http://www.w3.org/2001/XMLSchema-instance" xsi:type="dcterms:W3CDTF">2026-06-20T00:48:38Z</dcterms:modified>
</cp:coreProperties>
</file>