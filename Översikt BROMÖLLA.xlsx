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45877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45877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45877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34832-2023</t>
        </is>
      </c>
      <c r="B5" s="1" t="n">
        <v>45141</v>
      </c>
      <c r="C5" s="1" t="n">
        <v>45877</v>
      </c>
      <c r="D5" t="inlineStr">
        <is>
          <t>SKÅNE LÄN</t>
        </is>
      </c>
      <c r="E5" t="inlineStr">
        <is>
          <t>BROMÖLLA</t>
        </is>
      </c>
      <c r="G5" t="n">
        <v>3.7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hackspett
Spillkråka</t>
        </is>
      </c>
      <c r="S5">
        <f>HYPERLINK("https://klasma.github.io/Logging_1272/artfynd/A 34832-2023 artfynd.xlsx", "A 34832-2023")</f>
        <v/>
      </c>
      <c r="T5">
        <f>HYPERLINK("https://klasma.github.io/Logging_1272/kartor/A 34832-2023 karta.png", "A 34832-2023")</f>
        <v/>
      </c>
      <c r="V5">
        <f>HYPERLINK("https://klasma.github.io/Logging_1272/klagomål/A 34832-2023 FSC-klagomål.docx", "A 34832-2023")</f>
        <v/>
      </c>
      <c r="W5">
        <f>HYPERLINK("https://klasma.github.io/Logging_1272/klagomålsmail/A 34832-2023 FSC-klagomål mail.docx", "A 34832-2023")</f>
        <v/>
      </c>
      <c r="X5">
        <f>HYPERLINK("https://klasma.github.io/Logging_1272/tillsyn/A 34832-2023 tillsynsbegäran.docx", "A 34832-2023")</f>
        <v/>
      </c>
      <c r="Y5">
        <f>HYPERLINK("https://klasma.github.io/Logging_1272/tillsynsmail/A 34832-2023 tillsynsbegäran mail.docx", "A 34832-2023")</f>
        <v/>
      </c>
      <c r="Z5">
        <f>HYPERLINK("https://klasma.github.io/Logging_1272/fåglar/A 34832-2023 prioriterade fågelarter.docx", "A 34832-2023")</f>
        <v/>
      </c>
    </row>
    <row r="6" ht="15" customHeight="1">
      <c r="A6" t="inlineStr">
        <is>
          <t>A 50118-2022</t>
        </is>
      </c>
      <c r="B6" s="1" t="n">
        <v>44860</v>
      </c>
      <c r="C6" s="1" t="n">
        <v>45877</v>
      </c>
      <c r="D6" t="inlineStr">
        <is>
          <t>SKÅNE LÄN</t>
        </is>
      </c>
      <c r="E6" t="inlineStr">
        <is>
          <t>BROMÖLLA</t>
        </is>
      </c>
      <c r="G6" t="n">
        <v>12.8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Myskmadra</t>
        </is>
      </c>
      <c r="S6">
        <f>HYPERLINK("https://klasma.github.io/Logging_1272/artfynd/A 50118-2022 artfynd.xlsx", "A 50118-2022")</f>
        <v/>
      </c>
      <c r="T6">
        <f>HYPERLINK("https://klasma.github.io/Logging_1272/kartor/A 50118-2022 karta.png", "A 50118-2022")</f>
        <v/>
      </c>
      <c r="V6">
        <f>HYPERLINK("https://klasma.github.io/Logging_1272/klagomål/A 50118-2022 FSC-klagomål.docx", "A 50118-2022")</f>
        <v/>
      </c>
      <c r="W6">
        <f>HYPERLINK("https://klasma.github.io/Logging_1272/klagomålsmail/A 50118-2022 FSC-klagomål mail.docx", "A 50118-2022")</f>
        <v/>
      </c>
      <c r="X6">
        <f>HYPERLINK("https://klasma.github.io/Logging_1272/tillsyn/A 50118-2022 tillsynsbegäran.docx", "A 50118-2022")</f>
        <v/>
      </c>
      <c r="Y6">
        <f>HYPERLINK("https://klasma.github.io/Logging_1272/tillsynsmail/A 50118-2022 tillsynsbegäran mail.docx", "A 50118-2022")</f>
        <v/>
      </c>
    </row>
    <row r="7" ht="15" customHeight="1">
      <c r="A7" t="inlineStr">
        <is>
          <t>A 17396-2024</t>
        </is>
      </c>
      <c r="B7" s="1" t="n">
        <v>45414</v>
      </c>
      <c r="C7" s="1" t="n">
        <v>45877</v>
      </c>
      <c r="D7" t="inlineStr">
        <is>
          <t>SKÅNE LÄN</t>
        </is>
      </c>
      <c r="E7" t="inlineStr">
        <is>
          <t>BROMÖLLA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Safsa</t>
        </is>
      </c>
      <c r="S7">
        <f>HYPERLINK("https://klasma.github.io/Logging_1272/artfynd/A 17396-2024 artfynd.xlsx", "A 17396-2024")</f>
        <v/>
      </c>
      <c r="T7">
        <f>HYPERLINK("https://klasma.github.io/Logging_1272/kartor/A 17396-2024 karta.png", "A 17396-2024")</f>
        <v/>
      </c>
      <c r="V7">
        <f>HYPERLINK("https://klasma.github.io/Logging_1272/klagomål/A 17396-2024 FSC-klagomål.docx", "A 17396-2024")</f>
        <v/>
      </c>
      <c r="W7">
        <f>HYPERLINK("https://klasma.github.io/Logging_1272/klagomålsmail/A 17396-2024 FSC-klagomål mail.docx", "A 17396-2024")</f>
        <v/>
      </c>
      <c r="X7">
        <f>HYPERLINK("https://klasma.github.io/Logging_1272/tillsyn/A 17396-2024 tillsynsbegäran.docx", "A 17396-2024")</f>
        <v/>
      </c>
      <c r="Y7">
        <f>HYPERLINK("https://klasma.github.io/Logging_1272/tillsynsmail/A 17396-2024 tillsynsbegäran mail.docx", "A 17396-2024")</f>
        <v/>
      </c>
    </row>
    <row r="8" ht="15" customHeight="1">
      <c r="A8" t="inlineStr">
        <is>
          <t>A 12159-2025</t>
        </is>
      </c>
      <c r="B8" s="1" t="n">
        <v>45729</v>
      </c>
      <c r="C8" s="1" t="n">
        <v>45877</v>
      </c>
      <c r="D8" t="inlineStr">
        <is>
          <t>SKÅNE LÄN</t>
        </is>
      </c>
      <c r="E8" t="inlineStr">
        <is>
          <t>BROMÖLLA</t>
        </is>
      </c>
      <c r="G8" t="n">
        <v>13.2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HYPERLINK("https://klasma.github.io/Logging_121272/artfynd/A 12159-2025 artfynd.xlsx", "A 12159-2025")</f>
        <v/>
      </c>
      <c r="T8">
        <f>HYPERLINK("https://klasma.github.io/Logging_121272/kartor/A 12159-2025 karta.png", "A 12159-2025")</f>
        <v/>
      </c>
      <c r="V8">
        <f>HYPERLINK("https://klasma.github.io/Logging_121272/klagomål/A 12159-2025 FSC-klagomål.docx", "A 12159-2025")</f>
        <v/>
      </c>
      <c r="W8">
        <f>HYPERLINK("https://klasma.github.io/Logging_121272/klagomålsmail/A 12159-2025 FSC-klagomål mail.docx", "A 12159-2025")</f>
        <v/>
      </c>
      <c r="X8">
        <f>HYPERLINK("https://klasma.github.io/Logging_121272/tillsyn/A 12159-2025 tillsynsbegäran.docx", "A 12159-2025")</f>
        <v/>
      </c>
      <c r="Y8">
        <f>HYPERLINK("https://klasma.github.io/Logging_121272/tillsynsmail/A 12159-2025 tillsynsbegäran mail.docx", "A 12159-2025")</f>
        <v/>
      </c>
    </row>
    <row r="9" ht="15" customHeight="1">
      <c r="A9" t="inlineStr">
        <is>
          <t>A 19078-2019</t>
        </is>
      </c>
      <c r="B9" s="1" t="n">
        <v>43564</v>
      </c>
      <c r="C9" s="1" t="n">
        <v>45877</v>
      </c>
      <c r="D9" t="inlineStr">
        <is>
          <t>SKÅNE LÄN</t>
        </is>
      </c>
      <c r="E9" t="inlineStr">
        <is>
          <t>BROMÖLLA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21629-2019</t>
        </is>
      </c>
      <c r="B10" s="1" t="n">
        <v>43581</v>
      </c>
      <c r="C10" s="1" t="n">
        <v>45877</v>
      </c>
      <c r="D10" t="inlineStr">
        <is>
          <t>SKÅNE LÄN</t>
        </is>
      </c>
      <c r="E10" t="inlineStr">
        <is>
          <t>BROMÖLLA</t>
        </is>
      </c>
      <c r="G10" t="n">
        <v>5.9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26788-2019</t>
        </is>
      </c>
      <c r="B11" s="1" t="n">
        <v>43613</v>
      </c>
      <c r="C11" s="1" t="n">
        <v>45877</v>
      </c>
      <c r="D11" t="inlineStr">
        <is>
          <t>SKÅNE LÄN</t>
        </is>
      </c>
      <c r="E11" t="inlineStr">
        <is>
          <t>BROMÖLLA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32827-2019</t>
        </is>
      </c>
      <c r="B12" s="1" t="n">
        <v>43648</v>
      </c>
      <c r="C12" s="1" t="n">
        <v>45877</v>
      </c>
      <c r="D12" t="inlineStr">
        <is>
          <t>SKÅNE LÄN</t>
        </is>
      </c>
      <c r="E12" t="inlineStr">
        <is>
          <t>BROMÖLLA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34467-2019</t>
        </is>
      </c>
      <c r="B13" s="1" t="n">
        <v>43656</v>
      </c>
      <c r="C13" s="1" t="n">
        <v>45877</v>
      </c>
      <c r="D13" t="inlineStr">
        <is>
          <t>SKÅNE LÄN</t>
        </is>
      </c>
      <c r="E13" t="inlineStr">
        <is>
          <t>BROMÖLLA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36148-2019</t>
        </is>
      </c>
      <c r="B14" s="1" t="n">
        <v>43668</v>
      </c>
      <c r="C14" s="1" t="n">
        <v>45877</v>
      </c>
      <c r="D14" t="inlineStr">
        <is>
          <t>SKÅNE LÄN</t>
        </is>
      </c>
      <c r="E14" t="inlineStr">
        <is>
          <t>BROMÖLLA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37487-2019</t>
        </is>
      </c>
      <c r="B15" s="1" t="n">
        <v>43679</v>
      </c>
      <c r="C15" s="1" t="n">
        <v>45877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54334-2019</t>
        </is>
      </c>
      <c r="B16" s="1" t="n">
        <v>43753</v>
      </c>
      <c r="C16" s="1" t="n">
        <v>45877</v>
      </c>
      <c r="D16" t="inlineStr">
        <is>
          <t>SKÅNE LÄN</t>
        </is>
      </c>
      <c r="E16" t="inlineStr">
        <is>
          <t>BROMÖLLA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59740-2019</t>
        </is>
      </c>
      <c r="B17" s="1" t="n">
        <v>43776</v>
      </c>
      <c r="C17" s="1" t="n">
        <v>45877</v>
      </c>
      <c r="D17" t="inlineStr">
        <is>
          <t>SKÅNE LÄN</t>
        </is>
      </c>
      <c r="E17" t="inlineStr">
        <is>
          <t>BROMÖLLA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60938-2019</t>
        </is>
      </c>
      <c r="B18" s="1" t="n">
        <v>43780</v>
      </c>
      <c r="C18" s="1" t="n">
        <v>45877</v>
      </c>
      <c r="D18" t="inlineStr">
        <is>
          <t>SKÅNE LÄN</t>
        </is>
      </c>
      <c r="E18" t="inlineStr">
        <is>
          <t>BROMÖLLA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556-2020</t>
        </is>
      </c>
      <c r="B19" s="1" t="n">
        <v>43838</v>
      </c>
      <c r="C19" s="1" t="n">
        <v>45877</v>
      </c>
      <c r="D19" t="inlineStr">
        <is>
          <t>SKÅNE LÄN</t>
        </is>
      </c>
      <c r="E19" t="inlineStr">
        <is>
          <t>BROMÖLLA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554-2020</t>
        </is>
      </c>
      <c r="B20" s="1" t="n">
        <v>43838</v>
      </c>
      <c r="C20" s="1" t="n">
        <v>45877</v>
      </c>
      <c r="D20" t="inlineStr">
        <is>
          <t>SKÅNE LÄN</t>
        </is>
      </c>
      <c r="E20" t="inlineStr">
        <is>
          <t>BROMÖLLA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9808-2020</t>
        </is>
      </c>
      <c r="B21" s="1" t="n">
        <v>43881</v>
      </c>
      <c r="C21" s="1" t="n">
        <v>45877</v>
      </c>
      <c r="D21" t="inlineStr">
        <is>
          <t>SKÅNE LÄN</t>
        </is>
      </c>
      <c r="E21" t="inlineStr">
        <is>
          <t>BROMÖLLA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14668-2020</t>
        </is>
      </c>
      <c r="B22" s="1" t="n">
        <v>43909</v>
      </c>
      <c r="C22" s="1" t="n">
        <v>45877</v>
      </c>
      <c r="D22" t="inlineStr">
        <is>
          <t>SKÅNE LÄN</t>
        </is>
      </c>
      <c r="E22" t="inlineStr">
        <is>
          <t>BROMÖLLA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17226-2020</t>
        </is>
      </c>
      <c r="B23" s="1" t="n">
        <v>43922</v>
      </c>
      <c r="C23" s="1" t="n">
        <v>45877</v>
      </c>
      <c r="D23" t="inlineStr">
        <is>
          <t>SKÅNE LÄN</t>
        </is>
      </c>
      <c r="E23" t="inlineStr">
        <is>
          <t>BROMÖLLA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25876-2020</t>
        </is>
      </c>
      <c r="B24" s="1" t="n">
        <v>43984</v>
      </c>
      <c r="C24" s="1" t="n">
        <v>45877</v>
      </c>
      <c r="D24" t="inlineStr">
        <is>
          <t>SKÅNE LÄN</t>
        </is>
      </c>
      <c r="E24" t="inlineStr">
        <is>
          <t>BROMÖLLA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25692-2020</t>
        </is>
      </c>
      <c r="B25" s="1" t="n">
        <v>43984</v>
      </c>
      <c r="C25" s="1" t="n">
        <v>45877</v>
      </c>
      <c r="D25" t="inlineStr">
        <is>
          <t>SKÅNE LÄN</t>
        </is>
      </c>
      <c r="E25" t="inlineStr">
        <is>
          <t>BROMÖLLA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32081-2020</t>
        </is>
      </c>
      <c r="B26" s="1" t="n">
        <v>44015</v>
      </c>
      <c r="C26" s="1" t="n">
        <v>45877</v>
      </c>
      <c r="D26" t="inlineStr">
        <is>
          <t>SKÅNE LÄN</t>
        </is>
      </c>
      <c r="E26" t="inlineStr">
        <is>
          <t>BROMÖLLA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44717-2020</t>
        </is>
      </c>
      <c r="B27" s="1" t="n">
        <v>44085</v>
      </c>
      <c r="C27" s="1" t="n">
        <v>45877</v>
      </c>
      <c r="D27" t="inlineStr">
        <is>
          <t>SKÅNE LÄN</t>
        </is>
      </c>
      <c r="E27" t="inlineStr">
        <is>
          <t>BROMÖLLA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53252-2020</t>
        </is>
      </c>
      <c r="B28" s="1" t="n">
        <v>44123</v>
      </c>
      <c r="C28" s="1" t="n">
        <v>45877</v>
      </c>
      <c r="D28" t="inlineStr">
        <is>
          <t>SKÅNE LÄN</t>
        </is>
      </c>
      <c r="E28" t="inlineStr">
        <is>
          <t>BROMÖLLA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54046-2020</t>
        </is>
      </c>
      <c r="B29" s="1" t="n">
        <v>44125</v>
      </c>
      <c r="C29" s="1" t="n">
        <v>45877</v>
      </c>
      <c r="D29" t="inlineStr">
        <is>
          <t>SKÅNE LÄN</t>
        </is>
      </c>
      <c r="E29" t="inlineStr">
        <is>
          <t>BROMÖLLA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60449-2020</t>
        </is>
      </c>
      <c r="B30" s="1" t="n">
        <v>44153</v>
      </c>
      <c r="C30" s="1" t="n">
        <v>45877</v>
      </c>
      <c r="D30" t="inlineStr">
        <is>
          <t>SKÅNE LÄN</t>
        </is>
      </c>
      <c r="E30" t="inlineStr">
        <is>
          <t>BROMÖLLA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62734-2020</t>
        </is>
      </c>
      <c r="B31" s="1" t="n">
        <v>44161</v>
      </c>
      <c r="C31" s="1" t="n">
        <v>45877</v>
      </c>
      <c r="D31" t="inlineStr">
        <is>
          <t>SKÅNE LÄN</t>
        </is>
      </c>
      <c r="E31" t="inlineStr">
        <is>
          <t>BROMÖLLA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3792-2021</t>
        </is>
      </c>
      <c r="B32" s="1" t="n">
        <v>44221</v>
      </c>
      <c r="C32" s="1" t="n">
        <v>45877</v>
      </c>
      <c r="D32" t="inlineStr">
        <is>
          <t>SKÅNE LÄN</t>
        </is>
      </c>
      <c r="E32" t="inlineStr">
        <is>
          <t>BROMÖLLA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15784-2021</t>
        </is>
      </c>
      <c r="B33" s="1" t="n">
        <v>44286</v>
      </c>
      <c r="C33" s="1" t="n">
        <v>45877</v>
      </c>
      <c r="D33" t="inlineStr">
        <is>
          <t>SKÅNE LÄN</t>
        </is>
      </c>
      <c r="E33" t="inlineStr">
        <is>
          <t>BROMÖLLA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19066-2021</t>
        </is>
      </c>
      <c r="B34" s="1" t="n">
        <v>44308</v>
      </c>
      <c r="C34" s="1" t="n">
        <v>45877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25563-2021</t>
        </is>
      </c>
      <c r="B35" s="1" t="n">
        <v>44343</v>
      </c>
      <c r="C35" s="1" t="n">
        <v>45877</v>
      </c>
      <c r="D35" t="inlineStr">
        <is>
          <t>SKÅNE LÄN</t>
        </is>
      </c>
      <c r="E35" t="inlineStr">
        <is>
          <t>BROMÖLLA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25557-2021</t>
        </is>
      </c>
      <c r="B36" s="1" t="n">
        <v>44343</v>
      </c>
      <c r="C36" s="1" t="n">
        <v>45877</v>
      </c>
      <c r="D36" t="inlineStr">
        <is>
          <t>SKÅNE LÄN</t>
        </is>
      </c>
      <c r="E36" t="inlineStr">
        <is>
          <t>BROMÖLLA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27906-2021</t>
        </is>
      </c>
      <c r="B37" s="1" t="n">
        <v>44354</v>
      </c>
      <c r="C37" s="1" t="n">
        <v>45877</v>
      </c>
      <c r="D37" t="inlineStr">
        <is>
          <t>SKÅNE LÄN</t>
        </is>
      </c>
      <c r="E37" t="inlineStr">
        <is>
          <t>BROMÖLLA</t>
        </is>
      </c>
      <c r="F37" t="inlineStr">
        <is>
          <t>Kyrkan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31224-2021</t>
        </is>
      </c>
      <c r="B38" s="1" t="n">
        <v>44368</v>
      </c>
      <c r="C38" s="1" t="n">
        <v>45877</v>
      </c>
      <c r="D38" t="inlineStr">
        <is>
          <t>SKÅNE LÄN</t>
        </is>
      </c>
      <c r="E38" t="inlineStr">
        <is>
          <t>BROMÖLLA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36201-2021</t>
        </is>
      </c>
      <c r="B39" s="1" t="n">
        <v>44389</v>
      </c>
      <c r="C39" s="1" t="n">
        <v>45877</v>
      </c>
      <c r="D39" t="inlineStr">
        <is>
          <t>SKÅNE LÄN</t>
        </is>
      </c>
      <c r="E39" t="inlineStr">
        <is>
          <t>BROMÖLLA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36203-2021</t>
        </is>
      </c>
      <c r="B40" s="1" t="n">
        <v>44389</v>
      </c>
      <c r="C40" s="1" t="n">
        <v>45877</v>
      </c>
      <c r="D40" t="inlineStr">
        <is>
          <t>SKÅNE LÄN</t>
        </is>
      </c>
      <c r="E40" t="inlineStr">
        <is>
          <t>BROMÖLLA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37809-2021</t>
        </is>
      </c>
      <c r="B41" s="1" t="n">
        <v>44402</v>
      </c>
      <c r="C41" s="1" t="n">
        <v>45877</v>
      </c>
      <c r="D41" t="inlineStr">
        <is>
          <t>SKÅNE LÄN</t>
        </is>
      </c>
      <c r="E41" t="inlineStr">
        <is>
          <t>BROMÖLLA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41896-2021</t>
        </is>
      </c>
      <c r="B42" s="1" t="n">
        <v>44426</v>
      </c>
      <c r="C42" s="1" t="n">
        <v>45877</v>
      </c>
      <c r="D42" t="inlineStr">
        <is>
          <t>SKÅNE LÄN</t>
        </is>
      </c>
      <c r="E42" t="inlineStr">
        <is>
          <t>BROMÖLLA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43647-2021</t>
        </is>
      </c>
      <c r="B43" s="1" t="n">
        <v>44433</v>
      </c>
      <c r="C43" s="1" t="n">
        <v>45877</v>
      </c>
      <c r="D43" t="inlineStr">
        <is>
          <t>SKÅNE LÄN</t>
        </is>
      </c>
      <c r="E43" t="inlineStr">
        <is>
          <t>BROMÖLLA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59949-2021</t>
        </is>
      </c>
      <c r="B44" s="1" t="n">
        <v>44494</v>
      </c>
      <c r="C44" s="1" t="n">
        <v>45877</v>
      </c>
      <c r="D44" t="inlineStr">
        <is>
          <t>SKÅNE LÄN</t>
        </is>
      </c>
      <c r="E44" t="inlineStr">
        <is>
          <t>BROMÖLLA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63681-2021</t>
        </is>
      </c>
      <c r="B45" s="1" t="n">
        <v>44509</v>
      </c>
      <c r="C45" s="1" t="n">
        <v>45877</v>
      </c>
      <c r="D45" t="inlineStr">
        <is>
          <t>SKÅNE LÄN</t>
        </is>
      </c>
      <c r="E45" t="inlineStr">
        <is>
          <t>BROMÖLLA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64621-2021</t>
        </is>
      </c>
      <c r="B46" s="1" t="n">
        <v>44511</v>
      </c>
      <c r="C46" s="1" t="n">
        <v>45877</v>
      </c>
      <c r="D46" t="inlineStr">
        <is>
          <t>SKÅNE LÄN</t>
        </is>
      </c>
      <c r="E46" t="inlineStr">
        <is>
          <t>BROMÖLLA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5320-2022</t>
        </is>
      </c>
      <c r="B47" s="1" t="n">
        <v>44594</v>
      </c>
      <c r="C47" s="1" t="n">
        <v>45877</v>
      </c>
      <c r="D47" t="inlineStr">
        <is>
          <t>SKÅNE LÄN</t>
        </is>
      </c>
      <c r="E47" t="inlineStr">
        <is>
          <t>BROMÖLLA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5816-2022</t>
        </is>
      </c>
      <c r="B48" s="1" t="n">
        <v>44596</v>
      </c>
      <c r="C48" s="1" t="n">
        <v>45877</v>
      </c>
      <c r="D48" t="inlineStr">
        <is>
          <t>SKÅNE LÄN</t>
        </is>
      </c>
      <c r="E48" t="inlineStr">
        <is>
          <t>BROMÖLLA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5779-2022</t>
        </is>
      </c>
      <c r="B49" s="1" t="n">
        <v>44596</v>
      </c>
      <c r="C49" s="1" t="n">
        <v>45877</v>
      </c>
      <c r="D49" t="inlineStr">
        <is>
          <t>SKÅNE LÄN</t>
        </is>
      </c>
      <c r="E49" t="inlineStr">
        <is>
          <t>BROMÖLLA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30978-2022</t>
        </is>
      </c>
      <c r="B50" s="1" t="n">
        <v>44768</v>
      </c>
      <c r="C50" s="1" t="n">
        <v>45877</v>
      </c>
      <c r="D50" t="inlineStr">
        <is>
          <t>SKÅNE LÄN</t>
        </is>
      </c>
      <c r="E50" t="inlineStr">
        <is>
          <t>BROMÖLLA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36421-2022</t>
        </is>
      </c>
      <c r="B51" s="1" t="n">
        <v>44804</v>
      </c>
      <c r="C51" s="1" t="n">
        <v>45877</v>
      </c>
      <c r="D51" t="inlineStr">
        <is>
          <t>SKÅNE LÄN</t>
        </is>
      </c>
      <c r="E51" t="inlineStr">
        <is>
          <t>BROMÖLLA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36897-2022</t>
        </is>
      </c>
      <c r="B52" s="1" t="n">
        <v>44805</v>
      </c>
      <c r="C52" s="1" t="n">
        <v>45877</v>
      </c>
      <c r="D52" t="inlineStr">
        <is>
          <t>SKÅNE LÄN</t>
        </is>
      </c>
      <c r="E52" t="inlineStr">
        <is>
          <t>BROMÖLLA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40719-2022</t>
        </is>
      </c>
      <c r="B53" s="1" t="n">
        <v>44824</v>
      </c>
      <c r="C53" s="1" t="n">
        <v>45877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40695-2022</t>
        </is>
      </c>
      <c r="B54" s="1" t="n">
        <v>44824</v>
      </c>
      <c r="C54" s="1" t="n">
        <v>45877</v>
      </c>
      <c r="D54" t="inlineStr">
        <is>
          <t>SKÅNE LÄN</t>
        </is>
      </c>
      <c r="E54" t="inlineStr">
        <is>
          <t>BROMÖLLA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41042-2022</t>
        </is>
      </c>
      <c r="B55" s="1" t="n">
        <v>44825</v>
      </c>
      <c r="C55" s="1" t="n">
        <v>45877</v>
      </c>
      <c r="D55" t="inlineStr">
        <is>
          <t>SKÅNE LÄN</t>
        </is>
      </c>
      <c r="E55" t="inlineStr">
        <is>
          <t>BROMÖLLA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42748-2022</t>
        </is>
      </c>
      <c r="B56" s="1" t="n">
        <v>44831</v>
      </c>
      <c r="C56" s="1" t="n">
        <v>45877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42963-2022</t>
        </is>
      </c>
      <c r="B57" s="1" t="n">
        <v>44833</v>
      </c>
      <c r="C57" s="1" t="n">
        <v>45877</v>
      </c>
      <c r="D57" t="inlineStr">
        <is>
          <t>SKÅNE LÄN</t>
        </is>
      </c>
      <c r="E57" t="inlineStr">
        <is>
          <t>BROMÖLLA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49831-2022</t>
        </is>
      </c>
      <c r="B58" s="1" t="n">
        <v>44862</v>
      </c>
      <c r="C58" s="1" t="n">
        <v>45877</v>
      </c>
      <c r="D58" t="inlineStr">
        <is>
          <t>SKÅNE LÄN</t>
        </is>
      </c>
      <c r="E58" t="inlineStr">
        <is>
          <t>BROMÖLLA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61701-2022</t>
        </is>
      </c>
      <c r="B59" s="1" t="n">
        <v>44911</v>
      </c>
      <c r="C59" s="1" t="n">
        <v>45877</v>
      </c>
      <c r="D59" t="inlineStr">
        <is>
          <t>SKÅNE LÄN</t>
        </is>
      </c>
      <c r="E59" t="inlineStr">
        <is>
          <t>BROMÖLLA</t>
        </is>
      </c>
      <c r="F59" t="inlineStr">
        <is>
          <t>Kyrkan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62526-2022</t>
        </is>
      </c>
      <c r="B60" s="1" t="n">
        <v>44924</v>
      </c>
      <c r="C60" s="1" t="n">
        <v>45877</v>
      </c>
      <c r="D60" t="inlineStr">
        <is>
          <t>SKÅNE LÄN</t>
        </is>
      </c>
      <c r="E60" t="inlineStr">
        <is>
          <t>BROMÖLLA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9908-2023</t>
        </is>
      </c>
      <c r="B61" s="1" t="n">
        <v>44985</v>
      </c>
      <c r="C61" s="1" t="n">
        <v>45877</v>
      </c>
      <c r="D61" t="inlineStr">
        <is>
          <t>SKÅNE LÄN</t>
        </is>
      </c>
      <c r="E61" t="inlineStr">
        <is>
          <t>BROMÖLLA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11454-2023</t>
        </is>
      </c>
      <c r="B62" s="1" t="n">
        <v>44993</v>
      </c>
      <c r="C62" s="1" t="n">
        <v>45877</v>
      </c>
      <c r="D62" t="inlineStr">
        <is>
          <t>SKÅNE LÄN</t>
        </is>
      </c>
      <c r="E62" t="inlineStr">
        <is>
          <t>BROMÖLLA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12472-2023</t>
        </is>
      </c>
      <c r="B63" s="1" t="n">
        <v>44999</v>
      </c>
      <c r="C63" s="1" t="n">
        <v>45877</v>
      </c>
      <c r="D63" t="inlineStr">
        <is>
          <t>SKÅNE LÄN</t>
        </is>
      </c>
      <c r="E63" t="inlineStr">
        <is>
          <t>BROMÖLLA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12721-2023</t>
        </is>
      </c>
      <c r="B64" s="1" t="n">
        <v>45000</v>
      </c>
      <c r="C64" s="1" t="n">
        <v>45877</v>
      </c>
      <c r="D64" t="inlineStr">
        <is>
          <t>SKÅNE LÄN</t>
        </is>
      </c>
      <c r="E64" t="inlineStr">
        <is>
          <t>BROMÖLLA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12718-2023</t>
        </is>
      </c>
      <c r="B65" s="1" t="n">
        <v>45000</v>
      </c>
      <c r="C65" s="1" t="n">
        <v>45877</v>
      </c>
      <c r="D65" t="inlineStr">
        <is>
          <t>SKÅNE LÄN</t>
        </is>
      </c>
      <c r="E65" t="inlineStr">
        <is>
          <t>BROMÖLLA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17253-2023</t>
        </is>
      </c>
      <c r="B66" s="1" t="n">
        <v>45033</v>
      </c>
      <c r="C66" s="1" t="n">
        <v>45877</v>
      </c>
      <c r="D66" t="inlineStr">
        <is>
          <t>SKÅNE LÄN</t>
        </is>
      </c>
      <c r="E66" t="inlineStr">
        <is>
          <t>BROMÖLLA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20426-2023</t>
        </is>
      </c>
      <c r="B67" s="1" t="n">
        <v>45056</v>
      </c>
      <c r="C67" s="1" t="n">
        <v>45877</v>
      </c>
      <c r="D67" t="inlineStr">
        <is>
          <t>SKÅNE LÄN</t>
        </is>
      </c>
      <c r="E67" t="inlineStr">
        <is>
          <t>BROMÖLLA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21963-2023</t>
        </is>
      </c>
      <c r="B68" s="1" t="n">
        <v>45068</v>
      </c>
      <c r="C68" s="1" t="n">
        <v>45877</v>
      </c>
      <c r="D68" t="inlineStr">
        <is>
          <t>SKÅNE LÄN</t>
        </is>
      </c>
      <c r="E68" t="inlineStr">
        <is>
          <t>BROMÖLLA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21976-2023</t>
        </is>
      </c>
      <c r="B69" s="1" t="n">
        <v>45068</v>
      </c>
      <c r="C69" s="1" t="n">
        <v>45877</v>
      </c>
      <c r="D69" t="inlineStr">
        <is>
          <t>SKÅNE LÄN</t>
        </is>
      </c>
      <c r="E69" t="inlineStr">
        <is>
          <t>BROMÖLLA</t>
        </is>
      </c>
      <c r="G69" t="n">
        <v>12.9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21980-2023</t>
        </is>
      </c>
      <c r="B70" s="1" t="n">
        <v>45068</v>
      </c>
      <c r="C70" s="1" t="n">
        <v>45877</v>
      </c>
      <c r="D70" t="inlineStr">
        <is>
          <t>SKÅNE LÄN</t>
        </is>
      </c>
      <c r="E70" t="inlineStr">
        <is>
          <t>BROMÖLLA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24977-2023</t>
        </is>
      </c>
      <c r="B71" s="1" t="n">
        <v>45085</v>
      </c>
      <c r="C71" s="1" t="n">
        <v>45877</v>
      </c>
      <c r="D71" t="inlineStr">
        <is>
          <t>SKÅNE LÄN</t>
        </is>
      </c>
      <c r="E71" t="inlineStr">
        <is>
          <t>BROMÖLLA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25918-2023</t>
        </is>
      </c>
      <c r="B72" s="1" t="n">
        <v>45090</v>
      </c>
      <c r="C72" s="1" t="n">
        <v>45877</v>
      </c>
      <c r="D72" t="inlineStr">
        <is>
          <t>SKÅNE LÄN</t>
        </is>
      </c>
      <c r="E72" t="inlineStr">
        <is>
          <t>BROMÖLLA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28204-2023</t>
        </is>
      </c>
      <c r="B73" s="1" t="n">
        <v>45099</v>
      </c>
      <c r="C73" s="1" t="n">
        <v>45877</v>
      </c>
      <c r="D73" t="inlineStr">
        <is>
          <t>SKÅNE LÄN</t>
        </is>
      </c>
      <c r="E73" t="inlineStr">
        <is>
          <t>BROMÖLLA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28882-2023</t>
        </is>
      </c>
      <c r="B74" s="1" t="n">
        <v>45104</v>
      </c>
      <c r="C74" s="1" t="n">
        <v>45877</v>
      </c>
      <c r="D74" t="inlineStr">
        <is>
          <t>SKÅNE LÄN</t>
        </is>
      </c>
      <c r="E74" t="inlineStr">
        <is>
          <t>BROMÖLLA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28870-2023</t>
        </is>
      </c>
      <c r="B75" s="1" t="n">
        <v>45104</v>
      </c>
      <c r="C75" s="1" t="n">
        <v>45877</v>
      </c>
      <c r="D75" t="inlineStr">
        <is>
          <t>SKÅNE LÄN</t>
        </is>
      </c>
      <c r="E75" t="inlineStr">
        <is>
          <t>BROMÖLLA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30101-2023</t>
        </is>
      </c>
      <c r="B76" s="1" t="n">
        <v>45110</v>
      </c>
      <c r="C76" s="1" t="n">
        <v>45877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30075-2023</t>
        </is>
      </c>
      <c r="B77" s="1" t="n">
        <v>45110</v>
      </c>
      <c r="C77" s="1" t="n">
        <v>45877</v>
      </c>
      <c r="D77" t="inlineStr">
        <is>
          <t>SKÅNE LÄN</t>
        </is>
      </c>
      <c r="E77" t="inlineStr">
        <is>
          <t>BROMÖLLA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30112-2023</t>
        </is>
      </c>
      <c r="B78" s="1" t="n">
        <v>45110</v>
      </c>
      <c r="C78" s="1" t="n">
        <v>45877</v>
      </c>
      <c r="D78" t="inlineStr">
        <is>
          <t>SKÅNE LÄN</t>
        </is>
      </c>
      <c r="E78" t="inlineStr">
        <is>
          <t>BROMÖLLA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30089-2023</t>
        </is>
      </c>
      <c r="B79" s="1" t="n">
        <v>45110</v>
      </c>
      <c r="C79" s="1" t="n">
        <v>45877</v>
      </c>
      <c r="D79" t="inlineStr">
        <is>
          <t>SKÅNE LÄN</t>
        </is>
      </c>
      <c r="E79" t="inlineStr">
        <is>
          <t>BROMÖLLA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31649-2023</t>
        </is>
      </c>
      <c r="B80" s="1" t="n">
        <v>45117</v>
      </c>
      <c r="C80" s="1" t="n">
        <v>45877</v>
      </c>
      <c r="D80" t="inlineStr">
        <is>
          <t>SKÅNE LÄN</t>
        </is>
      </c>
      <c r="E80" t="inlineStr">
        <is>
          <t>BROMÖLLA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34216-2023</t>
        </is>
      </c>
      <c r="B81" s="1" t="n">
        <v>45126</v>
      </c>
      <c r="C81" s="1" t="n">
        <v>45877</v>
      </c>
      <c r="D81" t="inlineStr">
        <is>
          <t>SKÅNE LÄN</t>
        </is>
      </c>
      <c r="E81" t="inlineStr">
        <is>
          <t>BROMÖLLA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33255-2023</t>
        </is>
      </c>
      <c r="B82" s="1" t="n">
        <v>45127</v>
      </c>
      <c r="C82" s="1" t="n">
        <v>45877</v>
      </c>
      <c r="D82" t="inlineStr">
        <is>
          <t>SKÅNE LÄN</t>
        </is>
      </c>
      <c r="E82" t="inlineStr">
        <is>
          <t>BROMÖLLA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34764-2023</t>
        </is>
      </c>
      <c r="B83" s="1" t="n">
        <v>45141</v>
      </c>
      <c r="C83" s="1" t="n">
        <v>45877</v>
      </c>
      <c r="D83" t="inlineStr">
        <is>
          <t>SKÅNE LÄN</t>
        </is>
      </c>
      <c r="E83" t="inlineStr">
        <is>
          <t>BROMÖLLA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45877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45877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45877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45877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45877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45877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45877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45877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45877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45877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45877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45877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45877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45877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45877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45877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45877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45877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45877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45877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45877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45877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45877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45877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45877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45877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45877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45877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45877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45877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45877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45877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45877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45877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45877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45877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45877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45877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45877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45877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45877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45877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45877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45877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45877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45877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45877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45877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45877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45877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45877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45877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45877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45877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45877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45877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45877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45877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45877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45877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45877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45877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45877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27965-2025</t>
        </is>
      </c>
      <c r="B147" s="1" t="n">
        <v>45817</v>
      </c>
      <c r="C147" s="1" t="n">
        <v>45877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31404-2025</t>
        </is>
      </c>
      <c r="B148" s="1" t="n">
        <v>45833</v>
      </c>
      <c r="C148" s="1" t="n">
        <v>45877</v>
      </c>
      <c r="D148" t="inlineStr">
        <is>
          <t>SKÅNE LÄN</t>
        </is>
      </c>
      <c r="E148" t="inlineStr">
        <is>
          <t>BROMÖLLA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35392-2025</t>
        </is>
      </c>
      <c r="B149" s="1" t="n">
        <v>45854</v>
      </c>
      <c r="C149" s="1" t="n">
        <v>45877</v>
      </c>
      <c r="D149" t="inlineStr">
        <is>
          <t>SKÅNE LÄN</t>
        </is>
      </c>
      <c r="E149" t="inlineStr">
        <is>
          <t>BROMÖLLA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35397-2025</t>
        </is>
      </c>
      <c r="B150" s="1" t="n">
        <v>45854</v>
      </c>
      <c r="C150" s="1" t="n">
        <v>45877</v>
      </c>
      <c r="D150" t="inlineStr">
        <is>
          <t>SKÅNE LÄN</t>
        </is>
      </c>
      <c r="E150" t="inlineStr">
        <is>
          <t>BROMÖLLA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35401-2025</t>
        </is>
      </c>
      <c r="B151" s="1" t="n">
        <v>45854</v>
      </c>
      <c r="C151" s="1" t="n">
        <v>45877</v>
      </c>
      <c r="D151" t="inlineStr">
        <is>
          <t>SKÅNE LÄN</t>
        </is>
      </c>
      <c r="E151" t="inlineStr">
        <is>
          <t>BROMÖLLA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36086-2025</t>
        </is>
      </c>
      <c r="B152" s="1" t="n">
        <v>45866</v>
      </c>
      <c r="C152" s="1" t="n">
        <v>45877</v>
      </c>
      <c r="D152" t="inlineStr">
        <is>
          <t>SKÅNE LÄN</t>
        </is>
      </c>
      <c r="E152" t="inlineStr">
        <is>
          <t>BROMÖLLA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2025-08-09T01:07:42Z</dcterms:created>
  <dcterms:modified xmlns:dcterms="http://purl.org/dc/terms/" xmlns:xsi="http://www.w3.org/2001/XMLSchema-instance" xsi:type="dcterms:W3CDTF">2025-08-09T01:07:42Z</dcterms:modified>
</cp:coreProperties>
</file>