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46219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46219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46219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46219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46219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46219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46219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20426-2023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45056</v>
      </c>
      <c r="E9" s="1" t="n">
        <v>46219</v>
      </c>
      <c r="F9" t="inlineStr">
        <is>
          <t>SKÅNE LÄN</t>
        </is>
      </c>
      <c r="G9" t="inlineStr">
        <is>
          <t>BROMÖLLA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Hålnunneört</t>
        </is>
      </c>
      <c r="V9">
        <f>HYPERLINK("https://klasma.github.io/Logging_1272/artfynd/A 20426-2023 artfynd.xlsx", "A 20426-2023")</f>
        <v/>
      </c>
      <c r="W9">
        <f>HYPERLINK("https://klasma.github.io/Logging_1272/kartor/A 20426-2023 karta.png", "A 20426-2023")</f>
        <v/>
      </c>
      <c r="Y9">
        <f>HYPERLINK("https://klasma.github.io/Logging_1272/klagomål/A 20426-2023 FSC-klagomål.docx", "A 20426-2023")</f>
        <v/>
      </c>
      <c r="Z9">
        <f>HYPERLINK("https://klasma.github.io/Logging_1272/klagomålsmail/A 20426-2023 FSC-klagomål mail.docx", "A 20426-2023")</f>
        <v/>
      </c>
      <c r="AA9">
        <f>HYPERLINK("https://klasma.github.io/Logging_1272/tillsyn/A 20426-2023 tillsynsbegäran.docx", "A 20426-2023")</f>
        <v/>
      </c>
      <c r="AB9">
        <f>HYPERLINK("https://klasma.github.io/Logging_1272/tillsynsmail/A 20426-2023 tillsynsbegäran mail.docx", "A 20426-2023")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46219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Myskmadra</t>
        </is>
      </c>
      <c r="V10">
        <f>HYPERLINK("https://klasma.github.io/Logging_1272/artfynd/A 50118-2022 artfynd.xlsx", "A 50118-2022")</f>
        <v/>
      </c>
      <c r="W10">
        <f>HYPERLINK("https://klasma.github.io/Logging_1272/kartor/A 50118-2022 karta.png", "A 50118-2022")</f>
        <v/>
      </c>
      <c r="Y10">
        <f>HYPERLINK("https://klasma.github.io/Logging_1272/klagomål/A 50118-2022 FSC-klagomål.docx", "A 50118-2022")</f>
        <v/>
      </c>
      <c r="Z10">
        <f>HYPERLINK("https://klasma.github.io/Logging_1272/klagomålsmail/A 50118-2022 FSC-klagomål mail.docx", "A 50118-2022")</f>
        <v/>
      </c>
      <c r="AA10">
        <f>HYPERLINK("https://klasma.github.io/Logging_1272/tillsyn/A 50118-2022 tillsynsbegäran.docx", "A 50118-2022")</f>
        <v/>
      </c>
      <c r="AB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46219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Safsa</t>
        </is>
      </c>
      <c r="V11">
        <f>HYPERLINK("https://klasma.github.io/Logging_1272/artfynd/A 17396-2024 artfynd.xlsx", "A 17396-2024")</f>
        <v/>
      </c>
      <c r="W11">
        <f>HYPERLINK("https://klasma.github.io/Logging_1272/kartor/A 17396-2024 karta.png", "A 17396-2024")</f>
        <v/>
      </c>
      <c r="Y11">
        <f>HYPERLINK("https://klasma.github.io/Logging_1272/klagomål/A 17396-2024 FSC-klagomål.docx", "A 17396-2024")</f>
        <v/>
      </c>
      <c r="Z11">
        <f>HYPERLINK("https://klasma.github.io/Logging_1272/klagomålsmail/A 17396-2024 FSC-klagomål mail.docx", "A 17396-2024")</f>
        <v/>
      </c>
      <c r="AA11">
        <f>HYPERLINK("https://klasma.github.io/Logging_1272/tillsyn/A 17396-2024 tillsynsbegäran.docx", "A 17396-2024")</f>
        <v/>
      </c>
      <c r="AB11">
        <f>HYPERLINK("https://klasma.github.io/Logging_1272/tillsynsmail/A 17396-2024 tillsynsbegäran mail.docx", "A 17396-2024")</f>
        <v/>
      </c>
    </row>
    <row r="12" ht="15" customHeight="1">
      <c r="A12" t="inlineStr">
        <is>
          <t>A 52972-2023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45222</v>
      </c>
      <c r="E12" s="1" t="n">
        <v>46219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HYPERLINK("https://klasma.github.io/Logging_1272/artfynd/A 52972-2023 artfynd.xlsx", "A 52972-2023")</f>
        <v/>
      </c>
      <c r="W12">
        <f>HYPERLINK("https://klasma.github.io/Logging_1272/kartor/A 52972-2023 karta.png", "A 52972-2023")</f>
        <v/>
      </c>
      <c r="Y12">
        <f>HYPERLINK("https://klasma.github.io/Logging_1272/klagomål/A 52972-2023 FSC-klagomål.docx", "A 52972-2023")</f>
        <v/>
      </c>
      <c r="Z12">
        <f>HYPERLINK("https://klasma.github.io/Logging_1272/klagomålsmail/A 52972-2023 FSC-klagomål mail.docx", "A 52972-2023")</f>
        <v/>
      </c>
      <c r="AA12">
        <f>HYPERLINK("https://klasma.github.io/Logging_1272/tillsyn/A 52972-2023 tillsynsbegäran.docx", "A 52972-2023")</f>
        <v/>
      </c>
      <c r="AB12">
        <f>HYPERLINK("https://klasma.github.io/Logging_1272/tillsynsmail/A 52972-2023 tillsynsbegäran mail.docx", "A 52972-2023")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46219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Rödlånke</t>
        </is>
      </c>
      <c r="V13">
        <f>HYPERLINK("https://klasma.github.io/Logging_1272/artfynd/A 8362-2026 artfynd.xlsx", "A 8362-2026")</f>
        <v/>
      </c>
      <c r="W13">
        <f>HYPERLINK("https://klasma.github.io/Logging_1272/kartor/A 8362-2026 karta.png", "A 8362-2026")</f>
        <v/>
      </c>
      <c r="Y13">
        <f>HYPERLINK("https://klasma.github.io/Logging_1272/klagomål/A 8362-2026 FSC-klagomål.docx", "A 8362-2026")</f>
        <v/>
      </c>
      <c r="Z13">
        <f>HYPERLINK("https://klasma.github.io/Logging_1272/klagomålsmail/A 8362-2026 FSC-klagomål mail.docx", "A 8362-2026")</f>
        <v/>
      </c>
      <c r="AA13">
        <f>HYPERLINK("https://klasma.github.io/Logging_1272/tillsyn/A 8362-2026 tillsynsbegäran.docx", "A 8362-2026")</f>
        <v/>
      </c>
      <c r="AB13">
        <f>HYPERLINK("https://klasma.github.io/Logging_1272/tillsynsmail/A 8362-2026 tillsynsbegäran mail.docx", "A 8362-2026")</f>
        <v/>
      </c>
    </row>
    <row r="14" ht="15" customHeight="1">
      <c r="A14" t="inlineStr">
        <is>
          <t>A 24688-2025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46219</v>
      </c>
      <c r="F14" t="inlineStr">
        <is>
          <t>SKÅNE LÄN</t>
        </is>
      </c>
      <c r="G14" t="inlineStr">
        <is>
          <t>BROMÖLLA</t>
        </is>
      </c>
      <c r="I14" t="n">
        <v>1.6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Järnsparv</t>
        </is>
      </c>
      <c r="V14">
        <f>HYPERLINK("https://klasma.github.io/Logging_1272/artfynd/A 24688-2025 artfynd.xlsx", "A 24688-2025")</f>
        <v/>
      </c>
      <c r="W14">
        <f>HYPERLINK("https://klasma.github.io/Logging_1272/kartor/A 24688-2025 karta.png", "A 24688-2025")</f>
        <v/>
      </c>
      <c r="Y14">
        <f>HYPERLINK("https://klasma.github.io/Logging_1272/klagomål/A 24688-2025 FSC-klagomål.docx", "A 24688-2025")</f>
        <v/>
      </c>
      <c r="Z14">
        <f>HYPERLINK("https://klasma.github.io/Logging_1272/klagomålsmail/A 24688-2025 FSC-klagomål mail.docx", "A 24688-2025")</f>
        <v/>
      </c>
      <c r="AA14">
        <f>HYPERLINK("https://klasma.github.io/Logging_1272/tillsyn/A 24688-2025 tillsynsbegäran.docx", "A 24688-2025")</f>
        <v/>
      </c>
      <c r="AB14">
        <f>HYPERLINK("https://klasma.github.io/Logging_1272/tillsynsmail/A 24688-2025 tillsynsbegäran mail.docx", "A 24688-2025")</f>
        <v/>
      </c>
      <c r="AC14">
        <f>HYPERLINK("https://klasma.github.io/Logging_1272/fåglar/A 24688-2025 prioriterade fågelarter.docx", "A 24688-2025")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46219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Sminkrot</t>
        </is>
      </c>
      <c r="V15">
        <f>HYPERLINK("https://klasma.github.io/Logging_1272/artfynd/A 17522-2026 artfynd.xlsx", "A 17522-2026")</f>
        <v/>
      </c>
      <c r="W15">
        <f>HYPERLINK("https://klasma.github.io/Logging_1272/kartor/A 17522-2026 karta.png", "A 17522-2026")</f>
        <v/>
      </c>
      <c r="Y15">
        <f>HYPERLINK("https://klasma.github.io/Logging_1272/klagomål/A 17522-2026 FSC-klagomål.docx", "A 17522-2026")</f>
        <v/>
      </c>
      <c r="Z15">
        <f>HYPERLINK("https://klasma.github.io/Logging_1272/klagomålsmail/A 17522-2026 FSC-klagomål mail.docx", "A 17522-2026")</f>
        <v/>
      </c>
      <c r="AA15">
        <f>HYPERLINK("https://klasma.github.io/Logging_1272/tillsyn/A 17522-2026 tillsynsbegäran.docx", "A 17522-2026")</f>
        <v/>
      </c>
      <c r="AB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46219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Skogsbräsma</t>
        </is>
      </c>
      <c r="V16">
        <f>HYPERLINK("https://klasma.github.io/Logging_1272/artfynd/A 35397-2025 artfynd.xlsx", "A 35397-2025")</f>
        <v/>
      </c>
      <c r="W16">
        <f>HYPERLINK("https://klasma.github.io/Logging_1272/kartor/A 35397-2025 karta.png", "A 35397-2025")</f>
        <v/>
      </c>
      <c r="Y16">
        <f>HYPERLINK("https://klasma.github.io/Logging_1272/klagomål/A 35397-2025 FSC-klagomål.docx", "A 35397-2025")</f>
        <v/>
      </c>
      <c r="Z16">
        <f>HYPERLINK("https://klasma.github.io/Logging_1272/klagomålsmail/A 35397-2025 FSC-klagomål mail.docx", "A 35397-2025")</f>
        <v/>
      </c>
      <c r="AA16">
        <f>HYPERLINK("https://klasma.github.io/Logging_1272/tillsyn/A 35397-2025 tillsynsbegäran.docx", "A 35397-2025")</f>
        <v/>
      </c>
      <c r="AB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46219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46219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46219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46219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46219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46219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46219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46219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46219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46219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46219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46219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46219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46219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46219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46219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30112-2023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45110</v>
      </c>
      <c r="E33" s="1" t="n">
        <v>46219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44833</v>
      </c>
      <c r="E34" s="1" t="n">
        <v>46219</v>
      </c>
      <c r="F34" t="inlineStr">
        <is>
          <t>SKÅNE LÄN</t>
        </is>
      </c>
      <c r="G34" t="inlineStr">
        <is>
          <t>BROMÖLLA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41896-2021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44426</v>
      </c>
      <c r="E35" s="1" t="n">
        <v>46219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9006-2024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46219</v>
      </c>
      <c r="F36" t="inlineStr">
        <is>
          <t>SKÅNE LÄN</t>
        </is>
      </c>
      <c r="G36" t="inlineStr">
        <is>
          <t>BROMÖLLA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33255-2023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45127</v>
      </c>
      <c r="E37" s="1" t="n">
        <v>46219</v>
      </c>
      <c r="F37" t="inlineStr">
        <is>
          <t>SKÅNE LÄN</t>
        </is>
      </c>
      <c r="G37" t="inlineStr">
        <is>
          <t>BROMÖLLA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46219</v>
      </c>
      <c r="F38" t="inlineStr">
        <is>
          <t>SKÅNE LÄN</t>
        </is>
      </c>
      <c r="G38" t="inlineStr">
        <is>
          <t>BROMÖLLA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43647-2021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44433</v>
      </c>
      <c r="E39" s="1" t="n">
        <v>46219</v>
      </c>
      <c r="F39" t="inlineStr">
        <is>
          <t>SKÅNE LÄN</t>
        </is>
      </c>
      <c r="G39" t="inlineStr">
        <is>
          <t>BROMÖLLA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47315-2023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46219</v>
      </c>
      <c r="F40" t="inlineStr">
        <is>
          <t>SKÅNE LÄN</t>
        </is>
      </c>
      <c r="G40" t="inlineStr">
        <is>
          <t>BROMÖLLA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17517-2024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45415</v>
      </c>
      <c r="E41" s="1" t="n">
        <v>46219</v>
      </c>
      <c r="F41" t="inlineStr">
        <is>
          <t>SKÅNE LÄN</t>
        </is>
      </c>
      <c r="G41" t="inlineStr">
        <is>
          <t>BROMÖLLA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45299</v>
      </c>
      <c r="E42" s="1" t="n">
        <v>46219</v>
      </c>
      <c r="F42" t="inlineStr">
        <is>
          <t>SKÅNE LÄN</t>
        </is>
      </c>
      <c r="G42" t="inlineStr">
        <is>
          <t>BROMÖLLA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45674</v>
      </c>
      <c r="E43" s="1" t="n">
        <v>46219</v>
      </c>
      <c r="F43" t="inlineStr">
        <is>
          <t>SKÅNE LÄN</t>
        </is>
      </c>
      <c r="G43" t="inlineStr">
        <is>
          <t>BROMÖLLA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45365</v>
      </c>
      <c r="E44" s="1" t="n">
        <v>46219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46219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17253-2023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45033</v>
      </c>
      <c r="E46" s="1" t="n">
        <v>46219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31649-2023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46219</v>
      </c>
      <c r="F47" t="inlineStr">
        <is>
          <t>SKÅNE LÄN</t>
        </is>
      </c>
      <c r="G47" t="inlineStr">
        <is>
          <t>BROMÖLLA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41253-2023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46219</v>
      </c>
      <c r="F48" t="inlineStr">
        <is>
          <t>SKÅNE LÄN</t>
        </is>
      </c>
      <c r="G48" t="inlineStr">
        <is>
          <t>BROMÖLLA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12685-2024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46219</v>
      </c>
      <c r="F49" t="inlineStr">
        <is>
          <t>SKÅNE LÄN</t>
        </is>
      </c>
      <c r="G49" t="inlineStr">
        <is>
          <t>BROMÖLLA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35804-2023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45148</v>
      </c>
      <c r="E50" s="1" t="n">
        <v>46219</v>
      </c>
      <c r="F50" t="inlineStr">
        <is>
          <t>SKÅNE LÄN</t>
        </is>
      </c>
      <c r="G50" t="inlineStr">
        <is>
          <t>BROMÖLLA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41309-2025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46219</v>
      </c>
      <c r="F51" t="inlineStr">
        <is>
          <t>SKÅNE LÄN</t>
        </is>
      </c>
      <c r="G51" t="inlineStr">
        <is>
          <t>BROMÖLLA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52307-2023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46219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30089-2023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46219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46733-2023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45195</v>
      </c>
      <c r="E54" s="1" t="n">
        <v>46219</v>
      </c>
      <c r="F54" t="inlineStr">
        <is>
          <t>SKÅNE LÄN</t>
        </is>
      </c>
      <c r="G54" t="inlineStr">
        <is>
          <t>BROMÖLLA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56360-2023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46219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46219</v>
      </c>
      <c r="F56" t="inlineStr">
        <is>
          <t>SKÅNE LÄN</t>
        </is>
      </c>
      <c r="G56" t="inlineStr">
        <is>
          <t>BROMÖLLA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49831-2022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44862</v>
      </c>
      <c r="E57" s="1" t="n">
        <v>46219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34216-2023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46219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42912-2024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46219</v>
      </c>
      <c r="F59" t="inlineStr">
        <is>
          <t>SKÅNE LÄN</t>
        </is>
      </c>
      <c r="G59" t="inlineStr">
        <is>
          <t>BROMÖLLA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43276-2023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46219</v>
      </c>
      <c r="F60" t="inlineStr">
        <is>
          <t>SKÅNE LÄN</t>
        </is>
      </c>
      <c r="G60" t="inlineStr">
        <is>
          <t>BROMÖLLA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45208</v>
      </c>
      <c r="E61" s="1" t="n">
        <v>46219</v>
      </c>
      <c r="F61" t="inlineStr">
        <is>
          <t>SKÅNE LÄN</t>
        </is>
      </c>
      <c r="G61" t="inlineStr">
        <is>
          <t>BROMÖLLA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21980-2023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45068</v>
      </c>
      <c r="E62" s="1" t="n">
        <v>46219</v>
      </c>
      <c r="F62" t="inlineStr">
        <is>
          <t>SKÅNE LÄN</t>
        </is>
      </c>
      <c r="G62" t="inlineStr">
        <is>
          <t>BROMÖLLA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39455-2024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45551</v>
      </c>
      <c r="E63" s="1" t="n">
        <v>46219</v>
      </c>
      <c r="F63" t="inlineStr">
        <is>
          <t>SKÅNE LÄN</t>
        </is>
      </c>
      <c r="G63" t="inlineStr">
        <is>
          <t>BROMÖLLA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42333-2023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46219</v>
      </c>
      <c r="F64" t="inlineStr">
        <is>
          <t>SKÅNE LÄN</t>
        </is>
      </c>
      <c r="G64" t="inlineStr">
        <is>
          <t>BROMÖLLA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46219</v>
      </c>
      <c r="F65" t="inlineStr">
        <is>
          <t>SKÅNE LÄN</t>
        </is>
      </c>
      <c r="G65" t="inlineStr">
        <is>
          <t>BROMÖLLA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54689-2023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46219</v>
      </c>
      <c r="F66" t="inlineStr">
        <is>
          <t>SKÅNE LÄN</t>
        </is>
      </c>
      <c r="G66" t="inlineStr">
        <is>
          <t>BROMÖLLA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61701-2022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44911</v>
      </c>
      <c r="E67" s="1" t="n">
        <v>46219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30101-2023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46219</v>
      </c>
      <c r="F68" t="inlineStr">
        <is>
          <t>SKÅNE LÄN</t>
        </is>
      </c>
      <c r="G68" t="inlineStr">
        <is>
          <t>BROMÖLLA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42748-2022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44831</v>
      </c>
      <c r="E69" s="1" t="n">
        <v>46219</v>
      </c>
      <c r="F69" t="inlineStr">
        <is>
          <t>SKÅNE LÄN</t>
        </is>
      </c>
      <c r="G69" t="inlineStr">
        <is>
          <t>BROMÖLLA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42909-2024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46219</v>
      </c>
      <c r="F70" t="inlineStr">
        <is>
          <t>SKÅNE LÄN</t>
        </is>
      </c>
      <c r="G70" t="inlineStr">
        <is>
          <t>BROMÖLLA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55762-2025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46219</v>
      </c>
      <c r="F71" t="inlineStr">
        <is>
          <t>SKÅNE LÄN</t>
        </is>
      </c>
      <c r="G71" t="inlineStr">
        <is>
          <t>BROMÖLLA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46219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35802-2023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46219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24528-2026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46170</v>
      </c>
      <c r="E74" s="1" t="n">
        <v>46219</v>
      </c>
      <c r="F74" t="inlineStr">
        <is>
          <t>SKÅNE LÄN</t>
        </is>
      </c>
      <c r="G74" t="inlineStr">
        <is>
          <t>BROMÖLLA</t>
        </is>
      </c>
      <c r="I74" t="n">
        <v>13.5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60055-2025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45993</v>
      </c>
      <c r="E75" s="1" t="n">
        <v>46219</v>
      </c>
      <c r="F75" t="inlineStr">
        <is>
          <t>SKÅNE LÄN</t>
        </is>
      </c>
      <c r="G75" t="inlineStr">
        <is>
          <t>BROMÖLLA</t>
        </is>
      </c>
      <c r="H75" t="inlineStr">
        <is>
          <t>Kyrkan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60698-2025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45996</v>
      </c>
      <c r="E76" s="1" t="n">
        <v>46219</v>
      </c>
      <c r="F76" t="inlineStr">
        <is>
          <t>SKÅNE LÄN</t>
        </is>
      </c>
      <c r="G76" t="inlineStr">
        <is>
          <t>BROMÖLLA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60696-2025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45996</v>
      </c>
      <c r="E77" s="1" t="n">
        <v>46219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28870-2023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45104</v>
      </c>
      <c r="E78" s="1" t="n">
        <v>46219</v>
      </c>
      <c r="F78" t="inlineStr">
        <is>
          <t>SKÅNE LÄN</t>
        </is>
      </c>
      <c r="G78" t="inlineStr">
        <is>
          <t>BROMÖLLA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45300</v>
      </c>
      <c r="E79" s="1" t="n">
        <v>46219</v>
      </c>
      <c r="F79" t="inlineStr">
        <is>
          <t>SKÅNE LÄN</t>
        </is>
      </c>
      <c r="G79" t="inlineStr">
        <is>
          <t>BROMÖLLA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40719-2022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44824</v>
      </c>
      <c r="E80" s="1" t="n">
        <v>46219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45866</v>
      </c>
      <c r="E81" s="1" t="n">
        <v>46219</v>
      </c>
      <c r="F81" t="inlineStr">
        <is>
          <t>SKÅNE LÄN</t>
        </is>
      </c>
      <c r="G81" t="inlineStr">
        <is>
          <t>BROMÖLLA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55901-2024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45622</v>
      </c>
      <c r="E82" s="1" t="n">
        <v>46219</v>
      </c>
      <c r="F82" t="inlineStr">
        <is>
          <t>SKÅNE LÄN</t>
        </is>
      </c>
      <c r="G82" t="inlineStr">
        <is>
          <t>BROMÖLLA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35798-2023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46219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56056-2023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45233</v>
      </c>
      <c r="E84" s="1" t="n">
        <v>46219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30407-2024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45491</v>
      </c>
      <c r="E85" s="1" t="n">
        <v>46219</v>
      </c>
      <c r="F85" t="inlineStr">
        <is>
          <t>SKÅNE LÄN</t>
        </is>
      </c>
      <c r="G85" t="inlineStr">
        <is>
          <t>BROMÖLLA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46219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8366-2026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46064</v>
      </c>
      <c r="E87" s="1" t="n">
        <v>46219</v>
      </c>
      <c r="F87" t="inlineStr">
        <is>
          <t>SKÅNE LÄN</t>
        </is>
      </c>
      <c r="G87" t="inlineStr">
        <is>
          <t>BROMÖLLA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9508-2026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46071</v>
      </c>
      <c r="E88" s="1" t="n">
        <v>46219</v>
      </c>
      <c r="F88" t="inlineStr">
        <is>
          <t>SKÅNE LÄN</t>
        </is>
      </c>
      <c r="G88" t="inlineStr">
        <is>
          <t>BROMÖLLA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9509-2026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46071</v>
      </c>
      <c r="E89" s="1" t="n">
        <v>46219</v>
      </c>
      <c r="F89" t="inlineStr">
        <is>
          <t>SKÅNE LÄN</t>
        </is>
      </c>
      <c r="G89" t="inlineStr">
        <is>
          <t>BROMÖLLA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46219</v>
      </c>
      <c r="F90" t="inlineStr">
        <is>
          <t>SKÅNE LÄN</t>
        </is>
      </c>
      <c r="G90" t="inlineStr">
        <is>
          <t>BROMÖLLA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46219</v>
      </c>
      <c r="F91" t="inlineStr">
        <is>
          <t>SKÅNE LÄN</t>
        </is>
      </c>
      <c r="G91" t="inlineStr">
        <is>
          <t>BROMÖLLA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31404-2025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45833</v>
      </c>
      <c r="E92" s="1" t="n">
        <v>46219</v>
      </c>
      <c r="F92" t="inlineStr">
        <is>
          <t>SKÅNE LÄN</t>
        </is>
      </c>
      <c r="G92" t="inlineStr">
        <is>
          <t>BROMÖLLA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45300</v>
      </c>
      <c r="E93" s="1" t="n">
        <v>46219</v>
      </c>
      <c r="F93" t="inlineStr">
        <is>
          <t>SKÅNE LÄN</t>
        </is>
      </c>
      <c r="G93" t="inlineStr">
        <is>
          <t>BROMÖLLA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11454-2023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46219</v>
      </c>
      <c r="F94" t="inlineStr">
        <is>
          <t>SKÅNE LÄN</t>
        </is>
      </c>
      <c r="G94" t="inlineStr">
        <is>
          <t>BROMÖLLA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20136-2026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46136</v>
      </c>
      <c r="E95" s="1" t="n">
        <v>46219</v>
      </c>
      <c r="F95" t="inlineStr">
        <is>
          <t>SKÅNE LÄN</t>
        </is>
      </c>
      <c r="G95" t="inlineStr">
        <is>
          <t>BROMÖLLA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46219</v>
      </c>
      <c r="F96" t="inlineStr">
        <is>
          <t>SKÅNE LÄN</t>
        </is>
      </c>
      <c r="G96" t="inlineStr">
        <is>
          <t>BROMÖLLA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32272-2024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45512</v>
      </c>
      <c r="E97" s="1" t="n">
        <v>46219</v>
      </c>
      <c r="F97" t="inlineStr">
        <is>
          <t>SKÅNE LÄN</t>
        </is>
      </c>
      <c r="G97" t="inlineStr">
        <is>
          <t>BROMÖLLA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12721-2023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46219</v>
      </c>
      <c r="F98" t="inlineStr">
        <is>
          <t>SKÅNE LÄN</t>
        </is>
      </c>
      <c r="G98" t="inlineStr">
        <is>
          <t>BROMÖLLA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59949-2021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46219</v>
      </c>
      <c r="F99" t="inlineStr">
        <is>
          <t>SKÅNE LÄN</t>
        </is>
      </c>
      <c r="G99" t="inlineStr">
        <is>
          <t>BROMÖLLA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26765-2026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46184</v>
      </c>
      <c r="E100" s="1" t="n">
        <v>46219</v>
      </c>
      <c r="F100" t="inlineStr">
        <is>
          <t>SKÅNE LÄN</t>
        </is>
      </c>
      <c r="G100" t="inlineStr">
        <is>
          <t>BROMÖLLA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27965-2025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46219</v>
      </c>
      <c r="F101" t="inlineStr">
        <is>
          <t>SKÅNE LÄN</t>
        </is>
      </c>
      <c r="G101" t="inlineStr">
        <is>
          <t>BROMÖLLA</t>
        </is>
      </c>
      <c r="I101" t="n">
        <v>12.7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26477-2026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46219</v>
      </c>
      <c r="F102" t="inlineStr">
        <is>
          <t>SKÅNE LÄN</t>
        </is>
      </c>
      <c r="G102" t="inlineStr">
        <is>
          <t>BROMÖLLA</t>
        </is>
      </c>
      <c r="I102" t="n">
        <v>15.6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57181-2024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45629</v>
      </c>
      <c r="E103" s="1" t="n">
        <v>46219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28129-2026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46219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39284-2025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46219</v>
      </c>
      <c r="F105" t="inlineStr">
        <is>
          <t>SKÅNE LÄN</t>
        </is>
      </c>
      <c r="G105" t="inlineStr">
        <is>
          <t>BROMÖLLA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46219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46219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46219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46219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46219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46219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46219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46219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46219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46219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46219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46219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46219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46219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46219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46219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46219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46219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2026-07-16T01:25:54Z</dcterms:created>
  <dcterms:modified xmlns:dcterms="http://purl.org/dc/terms/" xmlns:xsi="http://www.w3.org/2001/XMLSchema-instance" xsi:type="dcterms:W3CDTF">2026-07-16T01:25:54Z</dcterms:modified>
</cp:coreProperties>
</file>