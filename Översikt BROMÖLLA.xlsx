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8362-2026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46064</v>
      </c>
      <c r="E9" s="1" t="n">
        <v>46260</v>
      </c>
      <c r="F9" t="inlineStr">
        <is>
          <t>SKÅNE LÄN</t>
        </is>
      </c>
      <c r="G9" t="inlineStr">
        <is>
          <t>BROMÖLLA</t>
        </is>
      </c>
      <c r="I9" t="n">
        <v>2.7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Rödlånke</t>
        </is>
      </c>
      <c r="W9">
        <f>HYPERLINK("https://klasma.github.io/Logging_1272/artfynd/A 8362-2026 artfynd.xlsx", "A 8362-2026")</f>
        <v/>
      </c>
      <c r="X9">
        <f>HYPERLINK("https://klasma.github.io/Logging_1272/kartor/A 8362-2026 karta.png", "A 8362-2026")</f>
        <v/>
      </c>
      <c r="Y9">
        <f>HYPERLINK("https://klasma.github.io/Logging_1272/kartor_geotiff/A 8362-2026 georefererad karta.tif", "A 8362-2026")</f>
        <v/>
      </c>
      <c r="AA9">
        <f>HYPERLINK("https://klasma.github.io/Logging_1272/klagomål/A 8362-2026 FSC-klagomål.docx", "A 8362-2026")</f>
        <v/>
      </c>
      <c r="AB9">
        <f>HYPERLINK("https://klasma.github.io/Logging_1272/klagomålsmail/A 8362-2026 FSC-klagomål mail.docx", "A 8362-2026")</f>
        <v/>
      </c>
      <c r="AC9">
        <f>HYPERLINK("https://klasma.github.io/Logging_1272/tillsyn/A 8362-2026 tillsynsbegäran.docx", "A 8362-2026")</f>
        <v/>
      </c>
      <c r="AD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46260</v>
      </c>
      <c r="F10" t="inlineStr">
        <is>
          <t>SKÅNE LÄN</t>
        </is>
      </c>
      <c r="G10" t="inlineStr">
        <is>
          <t>BROMÖLLA</t>
        </is>
      </c>
      <c r="I10" t="n">
        <v>6.4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Sminkrot</t>
        </is>
      </c>
      <c r="W10">
        <f>HYPERLINK("https://klasma.github.io/Logging_1272/artfynd/A 17522-2026 artfynd.xlsx", "A 17522-2026")</f>
        <v/>
      </c>
      <c r="X10">
        <f>HYPERLINK("https://klasma.github.io/Logging_1272/kartor/A 17522-2026 karta.png", "A 17522-2026")</f>
        <v/>
      </c>
      <c r="Y10">
        <f>HYPERLINK("https://klasma.github.io/Logging_1272/kartor_geotiff/A 17522-2026 georefererad karta.tif", "A 17522-2026")</f>
        <v/>
      </c>
      <c r="AA10">
        <f>HYPERLINK("https://klasma.github.io/Logging_1272/klagomål/A 17522-2026 FSC-klagomål.docx", "A 17522-2026")</f>
        <v/>
      </c>
      <c r="AB10">
        <f>HYPERLINK("https://klasma.github.io/Logging_1272/klagomålsmail/A 17522-2026 FSC-klagomål mail.docx", "A 17522-2026")</f>
        <v/>
      </c>
      <c r="AC10">
        <f>HYPERLINK("https://klasma.github.io/Logging_1272/tillsyn/A 17522-2026 tillsynsbegäran.docx", "A 17522-2026")</f>
        <v/>
      </c>
      <c r="AD10">
        <f>HYPERLINK("https://klasma.github.io/Logging_1272/tillsynsmail/A 17522-2026 tillsynsbegäran mail.docx", "A 17522-2026")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46260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35397-2025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45854</v>
      </c>
      <c r="E12" s="1" t="n">
        <v>46260</v>
      </c>
      <c r="F12" t="inlineStr">
        <is>
          <t>SKÅNE LÄN</t>
        </is>
      </c>
      <c r="G12" t="inlineStr">
        <is>
          <t>BROMÖLLA</t>
        </is>
      </c>
      <c r="I12" t="n">
        <v>8.4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Skogsbräsma</t>
        </is>
      </c>
      <c r="W12">
        <f>HYPERLINK("https://klasma.github.io/Logging_1272/artfynd/A 35397-2025 artfynd.xlsx", "A 35397-2025")</f>
        <v/>
      </c>
      <c r="X12">
        <f>HYPERLINK("https://klasma.github.io/Logging_1272/kartor/A 35397-2025 karta.png", "A 35397-2025")</f>
        <v/>
      </c>
      <c r="Y12">
        <f>HYPERLINK("https://klasma.github.io/Logging_1272/kartor_geotiff/A 35397-2025 georefererad karta.tif", "A 35397-2025")</f>
        <v/>
      </c>
      <c r="AA12">
        <f>HYPERLINK("https://klasma.github.io/Logging_1272/klagomål/A 35397-2025 FSC-klagomål.docx", "A 35397-2025")</f>
        <v/>
      </c>
      <c r="AB12">
        <f>HYPERLINK("https://klasma.github.io/Logging_1272/klagomålsmail/A 35397-2025 FSC-klagomål mail.docx", "A 35397-2025")</f>
        <v/>
      </c>
      <c r="AC12">
        <f>HYPERLINK("https://klasma.github.io/Logging_1272/tillsyn/A 35397-2025 tillsynsbegäran.docx", "A 35397-2025")</f>
        <v/>
      </c>
      <c r="AD12">
        <f>HYPERLINK("https://klasma.github.io/Logging_1272/tillsynsmail/A 35397-2025 tillsynsbegäran mail.docx", "A 35397-2025")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46260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46260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46260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46260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46260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46260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46260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46260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46260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46260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46260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46260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46260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46260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46260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46260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46260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46260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46260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46260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46260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46260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46260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46260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46260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46260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46260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46260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46260</v>
      </c>
      <c r="F46" t="inlineStr">
        <is>
          <t>SKÅNE LÄN</t>
        </is>
      </c>
      <c r="G46" t="inlineStr">
        <is>
          <t>BROMÖLLA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46260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46260</v>
      </c>
      <c r="F48" t="inlineStr">
        <is>
          <t>SKÅNE LÄN</t>
        </is>
      </c>
      <c r="G48" t="inlineStr">
        <is>
          <t>BROMÖLLA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46260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46260</v>
      </c>
      <c r="F50" t="inlineStr">
        <is>
          <t>SKÅNE LÄN</t>
        </is>
      </c>
      <c r="G50" t="inlineStr">
        <is>
          <t>BROMÖLLA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46260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45728</v>
      </c>
      <c r="E52" s="1" t="n">
        <v>46260</v>
      </c>
      <c r="F52" t="inlineStr">
        <is>
          <t>SKÅNE LÄN</t>
        </is>
      </c>
      <c r="G52" t="inlineStr">
        <is>
          <t>BROMÖLLA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10275-2024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45365</v>
      </c>
      <c r="E53" s="1" t="n">
        <v>46260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46260</v>
      </c>
      <c r="F54" t="inlineStr">
        <is>
          <t>SKÅNE LÄN</t>
        </is>
      </c>
      <c r="G54" t="inlineStr">
        <is>
          <t>BROMÖLLA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34216-2023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45126</v>
      </c>
      <c r="E55" s="1" t="n">
        <v>46260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35798-2023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46260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46260</v>
      </c>
      <c r="F57" t="inlineStr">
        <is>
          <t>SKÅNE LÄN</t>
        </is>
      </c>
      <c r="G57" t="inlineStr">
        <is>
          <t>BROMÖLLA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46260</v>
      </c>
      <c r="F58" t="inlineStr">
        <is>
          <t>SKÅNE LÄN</t>
        </is>
      </c>
      <c r="G58" t="inlineStr">
        <is>
          <t>BROMÖLLA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46260</v>
      </c>
      <c r="F59" t="inlineStr">
        <is>
          <t>SKÅNE LÄN</t>
        </is>
      </c>
      <c r="G59" t="inlineStr">
        <is>
          <t>BROMÖLLA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46260</v>
      </c>
      <c r="F60" t="inlineStr">
        <is>
          <t>SKÅNE LÄN</t>
        </is>
      </c>
      <c r="G60" t="inlineStr">
        <is>
          <t>BROMÖLLA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28870-2023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46260</v>
      </c>
      <c r="F61" t="inlineStr">
        <is>
          <t>SKÅNE LÄN</t>
        </is>
      </c>
      <c r="G61" t="inlineStr">
        <is>
          <t>BROMÖLLA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45384</v>
      </c>
      <c r="E62" s="1" t="n">
        <v>46260</v>
      </c>
      <c r="F62" t="inlineStr">
        <is>
          <t>SKÅNE LÄN</t>
        </is>
      </c>
      <c r="G62" t="inlineStr">
        <is>
          <t>BROMÖLLA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46260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46260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46260</v>
      </c>
      <c r="F65" t="inlineStr">
        <is>
          <t>SKÅNE LÄN</t>
        </is>
      </c>
      <c r="G65" t="inlineStr">
        <is>
          <t>BROMÖLLA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46260</v>
      </c>
      <c r="F66" t="inlineStr">
        <is>
          <t>SKÅNE LÄN</t>
        </is>
      </c>
      <c r="G66" t="inlineStr">
        <is>
          <t>BROMÖLLA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20136-2026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46260</v>
      </c>
      <c r="F67" t="inlineStr">
        <is>
          <t>SKÅNE LÄN</t>
        </is>
      </c>
      <c r="G67" t="inlineStr">
        <is>
          <t>BROMÖLLA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46260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46260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46260</v>
      </c>
      <c r="F70" t="inlineStr">
        <is>
          <t>SKÅNE LÄN</t>
        </is>
      </c>
      <c r="G70" t="inlineStr">
        <is>
          <t>BROMÖLLA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46260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24528-2026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46260</v>
      </c>
      <c r="F72" t="inlineStr">
        <is>
          <t>SKÅNE LÄN</t>
        </is>
      </c>
      <c r="G72" t="inlineStr">
        <is>
          <t>BROMÖLLA</t>
        </is>
      </c>
      <c r="I72" t="n">
        <v>13.5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46260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46260</v>
      </c>
      <c r="F74" t="inlineStr">
        <is>
          <t>SKÅNE LÄN</t>
        </is>
      </c>
      <c r="G74" t="inlineStr">
        <is>
          <t>BROMÖLLA</t>
        </is>
      </c>
      <c r="I74" t="n">
        <v>12.7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44911</v>
      </c>
      <c r="E75" s="1" t="n">
        <v>46260</v>
      </c>
      <c r="F75" t="inlineStr">
        <is>
          <t>SKÅNE LÄN</t>
        </is>
      </c>
      <c r="G75" t="inlineStr">
        <is>
          <t>BROMÖLLA</t>
        </is>
      </c>
      <c r="H75" t="inlineStr">
        <is>
          <t>Kyrkan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46260</v>
      </c>
      <c r="F76" t="inlineStr">
        <is>
          <t>SKÅNE LÄN</t>
        </is>
      </c>
      <c r="G76" t="inlineStr">
        <is>
          <t>BROMÖLLA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26477-2026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46260</v>
      </c>
      <c r="F77" t="inlineStr">
        <is>
          <t>SKÅNE LÄN</t>
        </is>
      </c>
      <c r="G77" t="inlineStr">
        <is>
          <t>BROMÖLLA</t>
        </is>
      </c>
      <c r="I77" t="n">
        <v>15.6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46230</v>
      </c>
      <c r="E78" s="1" t="n">
        <v>46260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46230</v>
      </c>
      <c r="E79" s="1" t="n">
        <v>46260</v>
      </c>
      <c r="F79" t="inlineStr">
        <is>
          <t>SKÅNE LÄN</t>
        </is>
      </c>
      <c r="G79" t="inlineStr">
        <is>
          <t>BROMÖLLA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44804</v>
      </c>
      <c r="E80" s="1" t="n">
        <v>46260</v>
      </c>
      <c r="F80" t="inlineStr">
        <is>
          <t>SKÅNE LÄN</t>
        </is>
      </c>
      <c r="G80" t="inlineStr">
        <is>
          <t>BROMÖLLA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46195</v>
      </c>
      <c r="E81" s="1" t="n">
        <v>46260</v>
      </c>
      <c r="F81" t="inlineStr">
        <is>
          <t>SKÅNE LÄN</t>
        </is>
      </c>
      <c r="G81" t="inlineStr">
        <is>
          <t>BROMÖLLA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46260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46260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46260</v>
      </c>
      <c r="F84" t="inlineStr">
        <is>
          <t>SKÅNE LÄN</t>
        </is>
      </c>
      <c r="G84" t="inlineStr">
        <is>
          <t>BROMÖLLA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46260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46260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46260</v>
      </c>
      <c r="F87" t="inlineStr">
        <is>
          <t>SKÅNE LÄN</t>
        </is>
      </c>
      <c r="G87" t="inlineStr">
        <is>
          <t>BROMÖLLA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46260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46260</v>
      </c>
      <c r="F89" t="inlineStr">
        <is>
          <t>SKÅNE LÄN</t>
        </is>
      </c>
      <c r="G89" t="inlineStr">
        <is>
          <t>BROMÖLLA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46260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46260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46260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46260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46260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46260</v>
      </c>
      <c r="F95" t="inlineStr">
        <is>
          <t>SKÅNE LÄN</t>
        </is>
      </c>
      <c r="G95" t="inlineStr">
        <is>
          <t>BROMÖLLA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46260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46260</v>
      </c>
      <c r="F97" t="inlineStr">
        <is>
          <t>SKÅNE LÄN</t>
        </is>
      </c>
      <c r="G97" t="inlineStr">
        <is>
          <t>BROMÖLLA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46260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45415</v>
      </c>
      <c r="E99" s="1" t="n">
        <v>46260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45195</v>
      </c>
      <c r="E100" s="1" t="n">
        <v>46260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46260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46260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46260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46260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46260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46260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46260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46260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46260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46260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46260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46260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46260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46260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46260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46260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46260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46260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46260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46260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2026-08-26T01:52:04Z</dcterms:created>
  <dcterms:modified xmlns:dcterms="http://purl.org/dc/terms/" xmlns:xsi="http://www.w3.org/2001/XMLSchema-instance" xsi:type="dcterms:W3CDTF">2026-08-26T01:52:04Z</dcterms:modified>
</cp:coreProperties>
</file>