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46322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46322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46322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46322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46322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46322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46322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Bokvårtlav
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46322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46322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46322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46322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46322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46322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17396-2024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45414</v>
      </c>
      <c r="E16" s="1" t="n">
        <v>46322</v>
      </c>
      <c r="F16" t="inlineStr">
        <is>
          <t>SKÅNE LÄN</t>
        </is>
      </c>
      <c r="G16" t="inlineStr">
        <is>
          <t>BROMÖLLA</t>
        </is>
      </c>
      <c r="I16" t="n">
        <v>1.8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Safsa</t>
        </is>
      </c>
      <c r="W16">
        <f>HYPERLINK("https://klasma.github.io/Logging_1272/artfynd/A 17396-2024 artfynd.xlsx", "A 17396-2024")</f>
        <v/>
      </c>
      <c r="X16">
        <f>HYPERLINK("https://klasma.github.io/Logging_1272/kartor/A 17396-2024 karta.png", "A 17396-2024")</f>
        <v/>
      </c>
      <c r="Y16">
        <f>HYPERLINK("https://klasma.github.io/Logging_1272/kartor_geotiff/A 17396-2024 georefererad karta.tif", "A 17396-2024")</f>
        <v/>
      </c>
      <c r="AA16">
        <f>HYPERLINK("https://klasma.github.io/Logging_1272/klagomål/A 17396-2024 FSC-klagomål.docx", "A 17396-2024")</f>
        <v/>
      </c>
      <c r="AB16">
        <f>HYPERLINK("https://klasma.github.io/Logging_1272/klagomålsmail/A 17396-2024 FSC-klagomål mail.docx", "A 17396-2024")</f>
        <v/>
      </c>
      <c r="AC16">
        <f>HYPERLINK("https://klasma.github.io/Logging_1272/tillsyn/A 17396-2024 tillsynsbegäran.docx", "A 17396-2024")</f>
        <v/>
      </c>
      <c r="AD16">
        <f>HYPERLINK("https://klasma.github.io/Logging_1272/tillsynsmail/A 17396-2024 tillsynsbegäran mail.docx", "A 17396-2024")</f>
        <v/>
      </c>
    </row>
    <row r="17" ht="15" customHeight="1">
      <c r="A17" t="inlineStr">
        <is>
          <t>A 35397-2025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46322</v>
      </c>
      <c r="F17" t="inlineStr">
        <is>
          <t>SKÅNE LÄN</t>
        </is>
      </c>
      <c r="G17" t="inlineStr">
        <is>
          <t>BROMÖLLA</t>
        </is>
      </c>
      <c r="I17" t="n">
        <v>8.4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Skogsbräsma</t>
        </is>
      </c>
      <c r="W17">
        <f>HYPERLINK("https://klasma.github.io/Logging_1272/artfynd/A 35397-2025 artfynd.xlsx", "A 35397-2025")</f>
        <v/>
      </c>
      <c r="X17">
        <f>HYPERLINK("https://klasma.github.io/Logging_1272/kartor/A 35397-2025 karta.png", "A 35397-2025")</f>
        <v/>
      </c>
      <c r="Y17">
        <f>HYPERLINK("https://klasma.github.io/Logging_1272/kartor_geotiff/A 35397-2025 georefererad karta.tif", "A 35397-2025")</f>
        <v/>
      </c>
      <c r="AA17">
        <f>HYPERLINK("https://klasma.github.io/Logging_1272/klagomål/A 35397-2025 FSC-klagomål.docx", "A 35397-2025")</f>
        <v/>
      </c>
      <c r="AB17">
        <f>HYPERLINK("https://klasma.github.io/Logging_1272/klagomålsmail/A 35397-2025 FSC-klagomål mail.docx", "A 35397-2025")</f>
        <v/>
      </c>
      <c r="AC17">
        <f>HYPERLINK("https://klasma.github.io/Logging_1272/tillsyn/A 35397-2025 tillsynsbegäran.docx", "A 35397-2025")</f>
        <v/>
      </c>
      <c r="AD17">
        <f>HYPERLINK("https://klasma.github.io/Logging_1272/tillsynsmail/A 35397-2025 tillsynsbegäran mail.docx", "A 35397-2025")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46322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46322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46322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46322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46322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46322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46322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46322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46322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46322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46322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46322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46322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46322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46322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46322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31649-2023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46322</v>
      </c>
      <c r="F34" t="inlineStr">
        <is>
          <t>SKÅNE LÄN</t>
        </is>
      </c>
      <c r="G34" t="inlineStr">
        <is>
          <t>BROMÖLLA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46322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45127</v>
      </c>
      <c r="E36" s="1" t="n">
        <v>46322</v>
      </c>
      <c r="F36" t="inlineStr">
        <is>
          <t>SKÅNE LÄN</t>
        </is>
      </c>
      <c r="G36" t="inlineStr">
        <is>
          <t>BROMÖLLA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41254-2023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46322</v>
      </c>
      <c r="F37" t="inlineStr">
        <is>
          <t>SKÅNE LÄN</t>
        </is>
      </c>
      <c r="G37" t="inlineStr">
        <is>
          <t>BROMÖLLA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46322</v>
      </c>
      <c r="F38" t="inlineStr">
        <is>
          <t>SKÅNE LÄN</t>
        </is>
      </c>
      <c r="G38" t="inlineStr">
        <is>
          <t>BROMÖLLA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45208</v>
      </c>
      <c r="E39" s="1" t="n">
        <v>46322</v>
      </c>
      <c r="F39" t="inlineStr">
        <is>
          <t>SKÅNE LÄN</t>
        </is>
      </c>
      <c r="G39" t="inlineStr">
        <is>
          <t>BROMÖLLA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46322</v>
      </c>
      <c r="F40" t="inlineStr">
        <is>
          <t>SKÅNE LÄN</t>
        </is>
      </c>
      <c r="G40" t="inlineStr">
        <is>
          <t>BROMÖLLA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39455-2024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45551</v>
      </c>
      <c r="E41" s="1" t="n">
        <v>46322</v>
      </c>
      <c r="F41" t="inlineStr">
        <is>
          <t>SKÅNE LÄN</t>
        </is>
      </c>
      <c r="G41" t="inlineStr">
        <is>
          <t>BROMÖLLA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46322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46322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46322</v>
      </c>
      <c r="F44" t="inlineStr">
        <is>
          <t>SKÅNE LÄN</t>
        </is>
      </c>
      <c r="G44" t="inlineStr">
        <is>
          <t>BROMÖLLA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46322</v>
      </c>
      <c r="F45" t="inlineStr">
        <is>
          <t>SKÅNE LÄN</t>
        </is>
      </c>
      <c r="G45" t="inlineStr">
        <is>
          <t>BROMÖLLA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46322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46322</v>
      </c>
      <c r="F47" t="inlineStr">
        <is>
          <t>SKÅNE LÄN</t>
        </is>
      </c>
      <c r="G47" t="inlineStr">
        <is>
          <t>BROMÖLLA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46322</v>
      </c>
      <c r="F48" t="inlineStr">
        <is>
          <t>SKÅNE LÄN</t>
        </is>
      </c>
      <c r="G48" t="inlineStr">
        <is>
          <t>BROMÖLLA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46322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46322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17517-2024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45415</v>
      </c>
      <c r="E51" s="1" t="n">
        <v>46322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46733-2023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45195</v>
      </c>
      <c r="E52" s="1" t="n">
        <v>46322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46322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46322</v>
      </c>
      <c r="F54" t="inlineStr">
        <is>
          <t>SKÅNE LÄN</t>
        </is>
      </c>
      <c r="G54" t="inlineStr">
        <is>
          <t>BROMÖLLA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46322</v>
      </c>
      <c r="F55" t="inlineStr">
        <is>
          <t>SKÅNE LÄN</t>
        </is>
      </c>
      <c r="G55" t="inlineStr">
        <is>
          <t>BROMÖLLA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46322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46322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46322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46322</v>
      </c>
      <c r="F59" t="inlineStr">
        <is>
          <t>SKÅNE LÄN</t>
        </is>
      </c>
      <c r="G59" t="inlineStr">
        <is>
          <t>BROMÖLLA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46322</v>
      </c>
      <c r="F60" t="inlineStr">
        <is>
          <t>SKÅNE LÄN</t>
        </is>
      </c>
      <c r="G60" t="inlineStr">
        <is>
          <t>BROMÖLLA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46322</v>
      </c>
      <c r="F61" t="inlineStr">
        <is>
          <t>SKÅNE LÄN</t>
        </is>
      </c>
      <c r="G61" t="inlineStr">
        <is>
          <t>BROMÖLLA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46322</v>
      </c>
      <c r="F62" t="inlineStr">
        <is>
          <t>SKÅNE LÄN</t>
        </is>
      </c>
      <c r="G62" t="inlineStr">
        <is>
          <t>BROMÖLLA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46322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46322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46322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46322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45365</v>
      </c>
      <c r="E67" s="1" t="n">
        <v>46322</v>
      </c>
      <c r="F67" t="inlineStr">
        <is>
          <t>SKÅNE LÄN</t>
        </is>
      </c>
      <c r="G67" t="inlineStr">
        <is>
          <t>BROMÖLLA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46322</v>
      </c>
      <c r="F68" t="inlineStr">
        <is>
          <t>SKÅNE LÄN</t>
        </is>
      </c>
      <c r="G68" t="inlineStr">
        <is>
          <t>BROMÖLLA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46322</v>
      </c>
      <c r="F69" t="inlineStr">
        <is>
          <t>SKÅNE LÄN</t>
        </is>
      </c>
      <c r="G69" t="inlineStr">
        <is>
          <t>BROMÖLLA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46322</v>
      </c>
      <c r="F70" t="inlineStr">
        <is>
          <t>SKÅNE LÄN</t>
        </is>
      </c>
      <c r="G70" t="inlineStr">
        <is>
          <t>BROMÖLLA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46322</v>
      </c>
      <c r="F71" t="inlineStr">
        <is>
          <t>SKÅNE LÄN</t>
        </is>
      </c>
      <c r="G71" t="inlineStr">
        <is>
          <t>BROMÖLLA</t>
        </is>
      </c>
      <c r="H71" t="inlineStr">
        <is>
          <t>Kyrkan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46322</v>
      </c>
      <c r="F72" t="inlineStr">
        <is>
          <t>SKÅNE LÄN</t>
        </is>
      </c>
      <c r="G72" t="inlineStr">
        <is>
          <t>BROMÖLLA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46322</v>
      </c>
      <c r="F73" t="inlineStr">
        <is>
          <t>SKÅNE LÄN</t>
        </is>
      </c>
      <c r="G73" t="inlineStr">
        <is>
          <t>BROMÖLLA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46322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46322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45033</v>
      </c>
      <c r="E76" s="1" t="n">
        <v>46322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46322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46322</v>
      </c>
      <c r="F78" t="inlineStr">
        <is>
          <t>SKÅNE LÄN</t>
        </is>
      </c>
      <c r="G78" t="inlineStr">
        <is>
          <t>BROMÖLLA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46322</v>
      </c>
      <c r="F79" t="inlineStr">
        <is>
          <t>SKÅNE LÄN</t>
        </is>
      </c>
      <c r="G79" t="inlineStr">
        <is>
          <t>BROMÖLLA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46230</v>
      </c>
      <c r="E80" s="1" t="n">
        <v>46322</v>
      </c>
      <c r="F80" t="inlineStr">
        <is>
          <t>SKÅNE LÄN</t>
        </is>
      </c>
      <c r="G80" t="inlineStr">
        <is>
          <t>BROMÖLLA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31815-2026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46322</v>
      </c>
      <c r="F81" t="inlineStr">
        <is>
          <t>SKÅNE LÄN</t>
        </is>
      </c>
      <c r="G81" t="inlineStr">
        <is>
          <t>BROMÖLLA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45622</v>
      </c>
      <c r="E82" s="1" t="n">
        <v>46322</v>
      </c>
      <c r="F82" t="inlineStr">
        <is>
          <t>SKÅNE LÄN</t>
        </is>
      </c>
      <c r="G82" t="inlineStr">
        <is>
          <t>BROMÖLLA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46322</v>
      </c>
      <c r="F83" t="inlineStr">
        <is>
          <t>SKÅNE LÄN</t>
        </is>
      </c>
      <c r="G83" t="inlineStr">
        <is>
          <t>BROMÖLLA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46322</v>
      </c>
      <c r="F84" t="inlineStr">
        <is>
          <t>SKÅNE LÄN</t>
        </is>
      </c>
      <c r="G84" t="inlineStr">
        <is>
          <t>BROMÖLLA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46322</v>
      </c>
      <c r="F85" t="inlineStr">
        <is>
          <t>SKÅNE LÄN</t>
        </is>
      </c>
      <c r="G85" t="inlineStr">
        <is>
          <t>BROMÖLLA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46322</v>
      </c>
      <c r="F86" t="inlineStr">
        <is>
          <t>SKÅNE LÄN</t>
        </is>
      </c>
      <c r="G86" t="inlineStr">
        <is>
          <t>BROMÖLLA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44911</v>
      </c>
      <c r="E87" s="1" t="n">
        <v>46322</v>
      </c>
      <c r="F87" t="inlineStr">
        <is>
          <t>SKÅNE LÄN</t>
        </is>
      </c>
      <c r="G87" t="inlineStr">
        <is>
          <t>BROMÖLLA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40177-2026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46290</v>
      </c>
      <c r="E88" s="1" t="n">
        <v>46322</v>
      </c>
      <c r="F88" t="inlineStr">
        <is>
          <t>SKÅNE LÄN</t>
        </is>
      </c>
      <c r="G88" t="inlineStr">
        <is>
          <t>BROMÖLLA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46322</v>
      </c>
      <c r="F89" t="inlineStr">
        <is>
          <t>SKÅNE LÄN</t>
        </is>
      </c>
      <c r="G89" t="inlineStr">
        <is>
          <t>BROMÖLLA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46322</v>
      </c>
      <c r="F90" t="inlineStr">
        <is>
          <t>SKÅNE LÄN</t>
        </is>
      </c>
      <c r="G90" t="inlineStr">
        <is>
          <t>BROMÖLLA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46290</v>
      </c>
      <c r="E91" s="1" t="n">
        <v>46322</v>
      </c>
      <c r="F91" t="inlineStr">
        <is>
          <t>SKÅNE LÄN</t>
        </is>
      </c>
      <c r="G91" t="inlineStr">
        <is>
          <t>BROMÖLLA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46322</v>
      </c>
      <c r="F92" t="inlineStr">
        <is>
          <t>SKÅNE LÄN</t>
        </is>
      </c>
      <c r="G92" t="inlineStr">
        <is>
          <t>BROMÖLLA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46322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46322</v>
      </c>
      <c r="F94" t="inlineStr">
        <is>
          <t>SKÅNE LÄN</t>
        </is>
      </c>
      <c r="G94" t="inlineStr">
        <is>
          <t>BROMÖLLA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46322</v>
      </c>
      <c r="F95" t="inlineStr">
        <is>
          <t>SKÅNE LÄN</t>
        </is>
      </c>
      <c r="G95" t="inlineStr">
        <is>
          <t>BROMÖLLA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46322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46300</v>
      </c>
      <c r="E97" s="1" t="n">
        <v>46322</v>
      </c>
      <c r="F97" t="inlineStr">
        <is>
          <t>SKÅNE LÄN</t>
        </is>
      </c>
      <c r="G97" t="inlineStr">
        <is>
          <t>BROMÖLLA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44993</v>
      </c>
      <c r="E98" s="1" t="n">
        <v>46322</v>
      </c>
      <c r="F98" t="inlineStr">
        <is>
          <t>SKÅNE LÄN</t>
        </is>
      </c>
      <c r="G98" t="inlineStr">
        <is>
          <t>BROMÖLLA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45217</v>
      </c>
      <c r="E99" s="1" t="n">
        <v>46322</v>
      </c>
      <c r="F99" t="inlineStr">
        <is>
          <t>SKÅNE LÄN</t>
        </is>
      </c>
      <c r="G99" t="inlineStr">
        <is>
          <t>BROMÖLLA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46322</v>
      </c>
      <c r="F100" t="inlineStr">
        <is>
          <t>SKÅNE LÄN</t>
        </is>
      </c>
      <c r="G100" t="inlineStr">
        <is>
          <t>BROMÖLLA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46322</v>
      </c>
      <c r="F101" t="inlineStr">
        <is>
          <t>SKÅNE LÄN</t>
        </is>
      </c>
      <c r="G101" t="inlineStr">
        <is>
          <t>BROMÖLLA</t>
        </is>
      </c>
      <c r="I101" t="n">
        <v>15.6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46322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45148</v>
      </c>
      <c r="E103" s="1" t="n">
        <v>46322</v>
      </c>
      <c r="F103" t="inlineStr">
        <is>
          <t>SKÅNE LÄN</t>
        </is>
      </c>
      <c r="G103" t="inlineStr">
        <is>
          <t>BROMÖLLA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46315</v>
      </c>
      <c r="E104" s="1" t="n">
        <v>46322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46315</v>
      </c>
      <c r="E105" s="1" t="n">
        <v>46322</v>
      </c>
      <c r="F105" t="inlineStr">
        <is>
          <t>SKÅNE LÄN</t>
        </is>
      </c>
      <c r="G105" t="inlineStr">
        <is>
          <t>BROMÖLLA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46322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46322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46322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46322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46322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46322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46322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46322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46322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46322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46322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46322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46322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46322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46322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46322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46322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46322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2026-10-27T03:13:01Z</dcterms:created>
  <dcterms:modified xmlns:dcterms="http://purl.org/dc/terms/" xmlns:xsi="http://www.w3.org/2001/XMLSchema-instance" xsi:type="dcterms:W3CDTF">2026-10-27T03:13:01Z</dcterms:modified>
</cp:coreProperties>
</file>