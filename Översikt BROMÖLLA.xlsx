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38164-2026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46299</v>
      </c>
      <c r="F7" t="inlineStr">
        <is>
          <t>SKÅNE LÄN</t>
        </is>
      </c>
      <c r="G7" t="inlineStr">
        <is>
          <t>BROMÖLLA</t>
        </is>
      </c>
      <c r="I7" t="n">
        <v>6.9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Entita
Spillkråka</t>
        </is>
      </c>
      <c r="W7">
        <f>HYPERLINK("https://klasma.github.io/Logging_1272/artfynd/A 38164-2026 artfynd.xlsx", "A 38164-2026")</f>
        <v/>
      </c>
      <c r="X7">
        <f>HYPERLINK("https://klasma.github.io/Logging_1272/kartor/A 38164-2026 karta.png", "A 38164-2026")</f>
        <v/>
      </c>
      <c r="Y7">
        <f>HYPERLINK("https://klasma.github.io/Logging_1272/kartor_geotiff/A 38164-2026 georefererad karta.tif", "A 38164-2026")</f>
        <v/>
      </c>
      <c r="AA7">
        <f>HYPERLINK("https://klasma.github.io/Logging_1272/klagomål/A 38164-2026 FSC-klagomål.docx", "A 38164-2026")</f>
        <v/>
      </c>
      <c r="AB7">
        <f>HYPERLINK("https://klasma.github.io/Logging_1272/klagomålsmail/A 38164-2026 FSC-klagomål mail.docx", "A 38164-2026")</f>
        <v/>
      </c>
      <c r="AC7">
        <f>HYPERLINK("https://klasma.github.io/Logging_1272/tillsyn/A 38164-2026 tillsynsbegäran.docx", "A 38164-2026")</f>
        <v/>
      </c>
      <c r="AD7">
        <f>HYPERLINK("https://klasma.github.io/Logging_1272/tillsynsmail/A 38164-2026 tillsynsbegäran mail.docx", "A 38164-2026")</f>
        <v/>
      </c>
      <c r="AE7">
        <f>HYPERLINK("https://klasma.github.io/Logging_1272/fåglar/A 38164-2026 prioriterade fågelarter.docx", "A 38164-2026")</f>
        <v/>
      </c>
    </row>
    <row r="8" ht="15" customHeight="1">
      <c r="A8" t="inlineStr">
        <is>
          <t>S 168-2025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45677</v>
      </c>
      <c r="E8" s="1" t="n">
        <v>46299</v>
      </c>
      <c r="F8" t="inlineStr">
        <is>
          <t>SKÅNE LÄN</t>
        </is>
      </c>
      <c r="G8" t="inlineStr">
        <is>
          <t>BROMÖLLA</t>
        </is>
      </c>
      <c r="I8" t="n">
        <v>3.6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Mindre hackspett
Spillkråka</t>
        </is>
      </c>
      <c r="W8">
        <f>HYPERLINK("https://klasma.github.io/Logging_1272/artfynd/S 168-2025 artfynd.xlsx", "S 168-2025")</f>
        <v/>
      </c>
      <c r="X8">
        <f>HYPERLINK("https://klasma.github.io/Logging_1272/kartor/S 168-2025 karta.png", "S 168-2025")</f>
        <v/>
      </c>
      <c r="Y8">
        <f>HYPERLINK("https://klasma.github.io/Logging_1272/kartor_geotiff/S 168-2025 georefererad karta.tif", "S 168-2025")</f>
        <v/>
      </c>
      <c r="AA8">
        <f>HYPERLINK("https://klasma.github.io/Logging_1272/klagomål/S 168-2025 FSC-klagomål.docx", "S 168-2025")</f>
        <v/>
      </c>
      <c r="AB8">
        <f>HYPERLINK("https://klasma.github.io/Logging_1272/klagomålsmail/S 168-2025 FSC-klagomål mail.docx", "S 168-2025")</f>
        <v/>
      </c>
      <c r="AC8">
        <f>HYPERLINK("https://klasma.github.io/Logging_1272/tillsyn/S 168-2025 tillsynsbegäran.docx", "S 168-2025")</f>
        <v/>
      </c>
      <c r="AD8">
        <f>HYPERLINK("https://klasma.github.io/Logging_1272/tillsynsmail/S 168-2025 tillsynsbegäran mail.docx", "S 168-2025")</f>
        <v/>
      </c>
      <c r="AE8">
        <f>HYPERLINK("https://klasma.github.io/Logging_1272/fåglar/S 168-2025 prioriterade fågelarter.docx", "S 168-2025")</f>
        <v/>
      </c>
    </row>
    <row r="9" ht="15" customHeight="1">
      <c r="A9" t="inlineStr">
        <is>
          <t>S 1328-2025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45770</v>
      </c>
      <c r="E9" s="1" t="n">
        <v>46299</v>
      </c>
      <c r="F9" t="inlineStr">
        <is>
          <t>SKÅNE LÄN</t>
        </is>
      </c>
      <c r="G9" t="inlineStr">
        <is>
          <t>BROMÖLLA</t>
        </is>
      </c>
      <c r="I9" t="n">
        <v>27.2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Bivråk
Luddfingerört</t>
        </is>
      </c>
      <c r="W9">
        <f>HYPERLINK("https://klasma.github.io/Logging_1272/artfynd/S 1328-2025 artfynd.xlsx", "S 1328-2025")</f>
        <v/>
      </c>
      <c r="X9">
        <f>HYPERLINK("https://klasma.github.io/Logging_1272/kartor/S 1328-2025 karta.png", "S 1328-2025")</f>
        <v/>
      </c>
      <c r="Y9">
        <f>HYPERLINK("https://klasma.github.io/Logging_1272/kartor_geotiff/S 1328-2025 georefererad karta.tif", "S 1328-2025")</f>
        <v/>
      </c>
      <c r="AA9">
        <f>HYPERLINK("https://klasma.github.io/Logging_1272/klagomål/S 1328-2025 FSC-klagomål.docx", "S 1328-2025")</f>
        <v/>
      </c>
      <c r="AB9">
        <f>HYPERLINK("https://klasma.github.io/Logging_1272/klagomålsmail/S 1328-2025 FSC-klagomål mail.docx", "S 1328-2025")</f>
        <v/>
      </c>
      <c r="AC9">
        <f>HYPERLINK("https://klasma.github.io/Logging_1272/tillsyn/S 1328-2025 tillsynsbegäran.docx", "S 1328-2025")</f>
        <v/>
      </c>
      <c r="AD9">
        <f>HYPERLINK("https://klasma.github.io/Logging_1272/tillsynsmail/S 1328-2025 tillsynsbegäran mail.docx", "S 1328-2025")</f>
        <v/>
      </c>
      <c r="AE9">
        <f>HYPERLINK("https://klasma.github.io/Logging_1272/fåglar/S 1328-2025 prioriterade fågelarter.docx", "S 1328-2025")</f>
        <v/>
      </c>
    </row>
    <row r="10" ht="15" customHeight="1">
      <c r="A10" t="inlineStr">
        <is>
          <t>A 24688-2025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46299</v>
      </c>
      <c r="F10" t="inlineStr">
        <is>
          <t>SKÅNE LÄN</t>
        </is>
      </c>
      <c r="G10" t="inlineStr">
        <is>
          <t>BROMÖLLA</t>
        </is>
      </c>
      <c r="I10" t="n">
        <v>1.6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Järnsparv</t>
        </is>
      </c>
      <c r="W10">
        <f>HYPERLINK("https://klasma.github.io/Logging_1272/artfynd/A 24688-2025 artfynd.xlsx", "A 24688-2025")</f>
        <v/>
      </c>
      <c r="X10">
        <f>HYPERLINK("https://klasma.github.io/Logging_1272/kartor/A 24688-2025 karta.png", "A 24688-2025")</f>
        <v/>
      </c>
      <c r="Y10">
        <f>HYPERLINK("https://klasma.github.io/Logging_1272/kartor_geotiff/A 24688-2025 georefererad karta.tif", "A 24688-2025")</f>
        <v/>
      </c>
      <c r="AA10">
        <f>HYPERLINK("https://klasma.github.io/Logging_1272/klagomål/A 24688-2025 FSC-klagomål.docx", "A 24688-2025")</f>
        <v/>
      </c>
      <c r="AB10">
        <f>HYPERLINK("https://klasma.github.io/Logging_1272/klagomålsmail/A 24688-2025 FSC-klagomål mail.docx", "A 24688-2025")</f>
        <v/>
      </c>
      <c r="AC10">
        <f>HYPERLINK("https://klasma.github.io/Logging_1272/tillsyn/A 24688-2025 tillsynsbegäran.docx", "A 24688-2025")</f>
        <v/>
      </c>
      <c r="AD10">
        <f>HYPERLINK("https://klasma.github.io/Logging_1272/tillsynsmail/A 24688-2025 tillsynsbegäran mail.docx", "A 24688-2025")</f>
        <v/>
      </c>
      <c r="AE10">
        <f>HYPERLINK("https://klasma.github.io/Logging_1272/fåglar/A 24688-2025 prioriterade fågelarter.docx", "A 24688-2025")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46299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46299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46299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46299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46299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46299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A 52972-2023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46299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HYPERLINK("https://klasma.github.io/Logging_1272/artfynd/A 52972-2023 artfynd.xlsx", "A 52972-2023")</f>
        <v/>
      </c>
      <c r="X17">
        <f>HYPERLINK("https://klasma.github.io/Logging_1272/kartor/A 52972-2023 karta.png", "A 52972-2023")</f>
        <v/>
      </c>
      <c r="Y17">
        <f>HYPERLINK("https://klasma.github.io/Logging_1272/kartor_geotiff/A 52972-2023 georefererad karta.tif", "A 52972-2023")</f>
        <v/>
      </c>
      <c r="AA17">
        <f>HYPERLINK("https://klasma.github.io/Logging_1272/klagomål/A 52972-2023 FSC-klagomål.docx", "A 52972-2023")</f>
        <v/>
      </c>
      <c r="AB17">
        <f>HYPERLINK("https://klasma.github.io/Logging_1272/klagomålsmail/A 52972-2023 FSC-klagomål mail.docx", "A 52972-2023")</f>
        <v/>
      </c>
      <c r="AC17">
        <f>HYPERLINK("https://klasma.github.io/Logging_1272/tillsyn/A 52972-2023 tillsynsbegäran.docx", "A 52972-2023")</f>
        <v/>
      </c>
      <c r="AD17">
        <f>HYPERLINK("https://klasma.github.io/Logging_1272/tillsynsmail/A 52972-2023 tillsynsbegäran mail.docx", "A 52972-2023")</f>
        <v/>
      </c>
    </row>
    <row r="18" ht="15" customHeight="1">
      <c r="A18" t="inlineStr">
        <is>
          <t>S 4458-2023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45271</v>
      </c>
      <c r="E18" s="1" t="n">
        <v>46299</v>
      </c>
      <c r="F18" t="inlineStr">
        <is>
          <t>SKÅNE LÄN</t>
        </is>
      </c>
      <c r="G18" t="inlineStr">
        <is>
          <t>BROMÖLLA</t>
        </is>
      </c>
      <c r="I18" t="n">
        <v>62.9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Lundbräsma</t>
        </is>
      </c>
      <c r="W18">
        <f>HYPERLINK("https://klasma.github.io/Logging_1272/artfynd/S 4458-2023 artfynd.xlsx", "S 4458-2023")</f>
        <v/>
      </c>
      <c r="X18">
        <f>HYPERLINK("https://klasma.github.io/Logging_1272/kartor/S 4458-2023 karta.png", "S 4458-2023")</f>
        <v/>
      </c>
      <c r="Y18">
        <f>HYPERLINK("https://klasma.github.io/Logging_1272/kartor_geotiff/S 4458-2023 georefererad karta.tif", "S 4458-2023")</f>
        <v/>
      </c>
      <c r="AA18">
        <f>HYPERLINK("https://klasma.github.io/Logging_1272/klagomål/S 4458-2023 FSC-klagomål.docx", "S 4458-2023")</f>
        <v/>
      </c>
      <c r="AB18">
        <f>HYPERLINK("https://klasma.github.io/Logging_1272/klagomålsmail/S 4458-2023 FSC-klagomål mail.docx", "S 4458-2023")</f>
        <v/>
      </c>
      <c r="AC18">
        <f>HYPERLINK("https://klasma.github.io/Logging_1272/tillsyn/S 4458-2023 tillsynsbegäran.docx", "S 4458-2023")</f>
        <v/>
      </c>
      <c r="AD18">
        <f>HYPERLINK("https://klasma.github.io/Logging_1272/tillsynsmail/S 4458-2023 tillsynsbegäran mail.docx", "S 4458-2023")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46299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46299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46299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46299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46299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46299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46299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46299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46299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46299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46299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46299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46299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46299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46299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46299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46299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46299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46299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46299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45491</v>
      </c>
      <c r="E39" s="1" t="n">
        <v>46299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46299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46299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36086-2025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46299</v>
      </c>
      <c r="F42" t="inlineStr">
        <is>
          <t>SKÅNE LÄN</t>
        </is>
      </c>
      <c r="G42" t="inlineStr">
        <is>
          <t>BROMÖLLA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46299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46299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46299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46299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46299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45300</v>
      </c>
      <c r="E48" s="1" t="n">
        <v>46299</v>
      </c>
      <c r="F48" t="inlineStr">
        <is>
          <t>SKÅNE LÄN</t>
        </is>
      </c>
      <c r="G48" t="inlineStr">
        <is>
          <t>BROMÖLLA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46299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46299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46299</v>
      </c>
      <c r="F51" t="inlineStr">
        <is>
          <t>SKÅNE LÄN</t>
        </is>
      </c>
      <c r="G51" t="inlineStr">
        <is>
          <t>BROMÖLLA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46299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46299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46299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46299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46299</v>
      </c>
      <c r="F56" t="inlineStr">
        <is>
          <t>SKÅNE LÄN</t>
        </is>
      </c>
      <c r="G56" t="inlineStr">
        <is>
          <t>BROMÖLLA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46299</v>
      </c>
      <c r="F57" t="inlineStr">
        <is>
          <t>SKÅNE LÄN</t>
        </is>
      </c>
      <c r="G57" t="inlineStr">
        <is>
          <t>BROMÖLLA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46299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46299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49831-2022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44862</v>
      </c>
      <c r="E60" s="1" t="n">
        <v>46299</v>
      </c>
      <c r="F60" t="inlineStr">
        <is>
          <t>SKÅNE LÄN</t>
        </is>
      </c>
      <c r="G60" t="inlineStr">
        <is>
          <t>BROMÖLLA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46299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46299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46299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46299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45512</v>
      </c>
      <c r="E65" s="1" t="n">
        <v>46299</v>
      </c>
      <c r="F65" t="inlineStr">
        <is>
          <t>SKÅNE LÄN</t>
        </is>
      </c>
      <c r="G65" t="inlineStr">
        <is>
          <t>BROMÖLLA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45947</v>
      </c>
      <c r="E66" s="1" t="n">
        <v>46299</v>
      </c>
      <c r="F66" t="inlineStr">
        <is>
          <t>SKÅNE LÄN</t>
        </is>
      </c>
      <c r="G66" t="inlineStr">
        <is>
          <t>BROMÖLLA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45033</v>
      </c>
      <c r="E67" s="1" t="n">
        <v>46299</v>
      </c>
      <c r="F67" t="inlineStr">
        <is>
          <t>SKÅNE LÄN</t>
        </is>
      </c>
      <c r="G67" t="inlineStr">
        <is>
          <t>BROMÖLLA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28870-2023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45104</v>
      </c>
      <c r="E68" s="1" t="n">
        <v>46299</v>
      </c>
      <c r="F68" t="inlineStr">
        <is>
          <t>SKÅNE LÄN</t>
        </is>
      </c>
      <c r="G68" t="inlineStr">
        <is>
          <t>BROMÖLLA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45384</v>
      </c>
      <c r="E69" s="1" t="n">
        <v>46299</v>
      </c>
      <c r="F69" t="inlineStr">
        <is>
          <t>SKÅNE LÄN</t>
        </is>
      </c>
      <c r="G69" t="inlineStr">
        <is>
          <t>BROMÖLLA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46299</v>
      </c>
      <c r="F70" t="inlineStr">
        <is>
          <t>SKÅNE LÄN</t>
        </is>
      </c>
      <c r="G70" t="inlineStr">
        <is>
          <t>BROMÖLLA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46136</v>
      </c>
      <c r="E71" s="1" t="n">
        <v>46299</v>
      </c>
      <c r="F71" t="inlineStr">
        <is>
          <t>SKÅNE LÄN</t>
        </is>
      </c>
      <c r="G71" t="inlineStr">
        <is>
          <t>BROMÖLLA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46299</v>
      </c>
      <c r="F72" t="inlineStr">
        <is>
          <t>SKÅNE LÄN</t>
        </is>
      </c>
      <c r="G72" t="inlineStr">
        <is>
          <t>BROMÖLLA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46299</v>
      </c>
      <c r="F73" t="inlineStr">
        <is>
          <t>SKÅNE LÄN</t>
        </is>
      </c>
      <c r="G73" t="inlineStr">
        <is>
          <t>BROMÖLLA</t>
        </is>
      </c>
      <c r="I73" t="n">
        <v>12.7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46299</v>
      </c>
      <c r="F74" t="inlineStr">
        <is>
          <t>SKÅNE LÄN</t>
        </is>
      </c>
      <c r="G74" t="inlineStr">
        <is>
          <t>BROMÖLLA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46299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46299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46299</v>
      </c>
      <c r="F77" t="inlineStr">
        <is>
          <t>SKÅNE LÄN</t>
        </is>
      </c>
      <c r="G77" t="inlineStr">
        <is>
          <t>BROMÖLLA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26477-2026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46183</v>
      </c>
      <c r="E78" s="1" t="n">
        <v>46299</v>
      </c>
      <c r="F78" t="inlineStr">
        <is>
          <t>SKÅNE LÄN</t>
        </is>
      </c>
      <c r="G78" t="inlineStr">
        <is>
          <t>BROMÖLLA</t>
        </is>
      </c>
      <c r="I78" t="n">
        <v>15.6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46299</v>
      </c>
      <c r="F79" t="inlineStr">
        <is>
          <t>SKÅNE LÄN</t>
        </is>
      </c>
      <c r="G79" t="inlineStr">
        <is>
          <t>BROMÖLLA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44911</v>
      </c>
      <c r="E80" s="1" t="n">
        <v>46299</v>
      </c>
      <c r="F80" t="inlineStr">
        <is>
          <t>SKÅNE LÄN</t>
        </is>
      </c>
      <c r="G80" t="inlineStr">
        <is>
          <t>BROMÖLLA</t>
        </is>
      </c>
      <c r="H80" t="inlineStr">
        <is>
          <t>Kyrkan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46299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46299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46299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46299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46299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46299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46299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46299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46299</v>
      </c>
      <c r="F89" t="inlineStr">
        <is>
          <t>SKÅNE LÄN</t>
        </is>
      </c>
      <c r="G89" t="inlineStr">
        <is>
          <t>BROMÖLLA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46299</v>
      </c>
      <c r="F90" t="inlineStr">
        <is>
          <t>SKÅNE LÄN</t>
        </is>
      </c>
      <c r="G90" t="inlineStr">
        <is>
          <t>BROMÖLLA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46299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46290</v>
      </c>
      <c r="E92" s="1" t="n">
        <v>46299</v>
      </c>
      <c r="F92" t="inlineStr">
        <is>
          <t>SKÅNE LÄN</t>
        </is>
      </c>
      <c r="G92" t="inlineStr">
        <is>
          <t>BROMÖLLA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46299</v>
      </c>
      <c r="F93" t="inlineStr">
        <is>
          <t>SKÅNE LÄN</t>
        </is>
      </c>
      <c r="G93" t="inlineStr">
        <is>
          <t>BROMÖLLA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46299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45117</v>
      </c>
      <c r="E95" s="1" t="n">
        <v>46299</v>
      </c>
      <c r="F95" t="inlineStr">
        <is>
          <t>SKÅNE LÄN</t>
        </is>
      </c>
      <c r="G95" t="inlineStr">
        <is>
          <t>BROMÖLLA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46299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46299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46299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46299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46299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46299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46299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46299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46299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46299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46299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46299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46299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46299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46299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46299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46299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46299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46299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46299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46299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46299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46299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46299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46299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46299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46299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2026-10-04T01:56:58Z</dcterms:modified>
</cp:coreProperties>
</file>