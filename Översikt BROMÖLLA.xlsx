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46291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46291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46291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46291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46291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46291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46291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46291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46291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24688-2025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46291</v>
      </c>
      <c r="F12" t="inlineStr">
        <is>
          <t>SKÅNE LÄN</t>
        </is>
      </c>
      <c r="G12" t="inlineStr">
        <is>
          <t>BROMÖLLA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Järnsparv</t>
        </is>
      </c>
      <c r="W12">
        <f>HYPERLINK("https://klasma.github.io/Logging_1272/artfynd/A 24688-2025 artfynd.xlsx", "A 24688-2025")</f>
        <v/>
      </c>
      <c r="X12">
        <f>HYPERLINK("https://klasma.github.io/Logging_1272/kartor/A 24688-2025 karta.png", "A 24688-2025")</f>
        <v/>
      </c>
      <c r="Y12">
        <f>HYPERLINK("https://klasma.github.io/Logging_1272/kartor_geotiff/A 24688-2025 georefererad karta.tif", "A 24688-2025")</f>
        <v/>
      </c>
      <c r="AA12">
        <f>HYPERLINK("https://klasma.github.io/Logging_1272/klagomål/A 24688-2025 FSC-klagomål.docx", "A 24688-2025")</f>
        <v/>
      </c>
      <c r="AB12">
        <f>HYPERLINK("https://klasma.github.io/Logging_1272/klagomålsmail/A 24688-2025 FSC-klagomål mail.docx", "A 24688-2025")</f>
        <v/>
      </c>
      <c r="AC12">
        <f>HYPERLINK("https://klasma.github.io/Logging_1272/tillsyn/A 24688-2025 tillsynsbegäran.docx", "A 24688-2025")</f>
        <v/>
      </c>
      <c r="AD12">
        <f>HYPERLINK("https://klasma.github.io/Logging_1272/tillsynsmail/A 24688-2025 tillsynsbegäran mail.docx", "A 24688-2025")</f>
        <v/>
      </c>
      <c r="AE12">
        <f>HYPERLINK("https://klasma.github.io/Logging_1272/fåglar/A 24688-2025 prioriterade fågelarter.docx", "A 24688-2025")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46291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46291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46291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46291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46291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46291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46291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46291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46291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46291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46291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46291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46291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46291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46291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46291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46291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46291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46291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46291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46291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46291</v>
      </c>
      <c r="F34" t="inlineStr">
        <is>
          <t>SKÅNE LÄN</t>
        </is>
      </c>
      <c r="G34" t="inlineStr">
        <is>
          <t>BROMÖLLA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45866</v>
      </c>
      <c r="E35" s="1" t="n">
        <v>46291</v>
      </c>
      <c r="F35" t="inlineStr">
        <is>
          <t>SKÅNE LÄN</t>
        </is>
      </c>
      <c r="G35" t="inlineStr">
        <is>
          <t>BROMÖLLA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46291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49831-2022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46291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34216-2023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45126</v>
      </c>
      <c r="E38" s="1" t="n">
        <v>46291</v>
      </c>
      <c r="F38" t="inlineStr">
        <is>
          <t>SKÅNE LÄN</t>
        </is>
      </c>
      <c r="G38" t="inlineStr">
        <is>
          <t>BROMÖLLA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42912-2024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46291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8366-2026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46291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46291</v>
      </c>
      <c r="F41" t="inlineStr">
        <is>
          <t>SKÅNE LÄN</t>
        </is>
      </c>
      <c r="G41" t="inlineStr">
        <is>
          <t>BROMÖLLA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46291</v>
      </c>
      <c r="F42" t="inlineStr">
        <is>
          <t>SKÅNE LÄN</t>
        </is>
      </c>
      <c r="G42" t="inlineStr">
        <is>
          <t>BROMÖLLA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46291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61701-2022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44911</v>
      </c>
      <c r="E44" s="1" t="n">
        <v>46291</v>
      </c>
      <c r="F44" t="inlineStr">
        <is>
          <t>SKÅNE LÄN</t>
        </is>
      </c>
      <c r="G44" t="inlineStr">
        <is>
          <t>BROMÖLLA</t>
        </is>
      </c>
      <c r="H44" t="inlineStr">
        <is>
          <t>Kyrkan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31404-2025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45833</v>
      </c>
      <c r="E45" s="1" t="n">
        <v>46291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46291</v>
      </c>
      <c r="F46" t="inlineStr">
        <is>
          <t>SKÅNE LÄN</t>
        </is>
      </c>
      <c r="G46" t="inlineStr">
        <is>
          <t>BROMÖLLA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46291</v>
      </c>
      <c r="F47" t="inlineStr">
        <is>
          <t>SKÅNE LÄN</t>
        </is>
      </c>
      <c r="G47" t="inlineStr">
        <is>
          <t>BROMÖLLA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45299</v>
      </c>
      <c r="E48" s="1" t="n">
        <v>46291</v>
      </c>
      <c r="F48" t="inlineStr">
        <is>
          <t>SKÅNE LÄN</t>
        </is>
      </c>
      <c r="G48" t="inlineStr">
        <is>
          <t>BROMÖLLA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46291</v>
      </c>
      <c r="F49" t="inlineStr">
        <is>
          <t>SKÅNE LÄN</t>
        </is>
      </c>
      <c r="G49" t="inlineStr">
        <is>
          <t>BROMÖLLA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46291</v>
      </c>
      <c r="F50" t="inlineStr">
        <is>
          <t>SKÅNE LÄN</t>
        </is>
      </c>
      <c r="G50" t="inlineStr">
        <is>
          <t>BROMÖLLA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20136-2026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46136</v>
      </c>
      <c r="E51" s="1" t="n">
        <v>46291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51078-2025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45947</v>
      </c>
      <c r="E52" s="1" t="n">
        <v>46291</v>
      </c>
      <c r="F52" t="inlineStr">
        <is>
          <t>SKÅNE LÄN</t>
        </is>
      </c>
      <c r="G52" t="inlineStr">
        <is>
          <t>BROMÖLLA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45674</v>
      </c>
      <c r="E53" s="1" t="n">
        <v>46291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45033</v>
      </c>
      <c r="E54" s="1" t="n">
        <v>46291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32272-2024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46291</v>
      </c>
      <c r="F55" t="inlineStr">
        <is>
          <t>SKÅNE LÄN</t>
        </is>
      </c>
      <c r="G55" t="inlineStr">
        <is>
          <t>BROMÖLLA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45993</v>
      </c>
      <c r="E56" s="1" t="n">
        <v>46291</v>
      </c>
      <c r="F56" t="inlineStr">
        <is>
          <t>SKÅNE LÄN</t>
        </is>
      </c>
      <c r="G56" t="inlineStr">
        <is>
          <t>BROMÖLLA</t>
        </is>
      </c>
      <c r="H56" t="inlineStr">
        <is>
          <t>Kyrkan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60698-2025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45996</v>
      </c>
      <c r="E57" s="1" t="n">
        <v>46291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45174</v>
      </c>
      <c r="E58" s="1" t="n">
        <v>46291</v>
      </c>
      <c r="F58" t="inlineStr">
        <is>
          <t>SKÅNE LÄN</t>
        </is>
      </c>
      <c r="G58" t="inlineStr">
        <is>
          <t>BROMÖLLA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45996</v>
      </c>
      <c r="E59" s="1" t="n">
        <v>46291</v>
      </c>
      <c r="F59" t="inlineStr">
        <is>
          <t>SKÅNE LÄN</t>
        </is>
      </c>
      <c r="G59" t="inlineStr">
        <is>
          <t>BROMÖLLA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46291</v>
      </c>
      <c r="F60" t="inlineStr">
        <is>
          <t>SKÅNE LÄN</t>
        </is>
      </c>
      <c r="G60" t="inlineStr">
        <is>
          <t>BROMÖLLA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52307-2023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46291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46291</v>
      </c>
      <c r="F62" t="inlineStr">
        <is>
          <t>SKÅNE LÄN</t>
        </is>
      </c>
      <c r="G62" t="inlineStr">
        <is>
          <t>BROMÖLLA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46733-2023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45195</v>
      </c>
      <c r="E63" s="1" t="n">
        <v>46291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45243</v>
      </c>
      <c r="E64" s="1" t="n">
        <v>46291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46291</v>
      </c>
      <c r="F65" t="inlineStr">
        <is>
          <t>SKÅNE LÄN</t>
        </is>
      </c>
      <c r="G65" t="inlineStr">
        <is>
          <t>BROMÖLLA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46291</v>
      </c>
      <c r="F66" t="inlineStr">
        <is>
          <t>SKÅNE LÄN</t>
        </is>
      </c>
      <c r="G66" t="inlineStr">
        <is>
          <t>BROMÖLLA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46291</v>
      </c>
      <c r="F67" t="inlineStr">
        <is>
          <t>SKÅNE LÄN</t>
        </is>
      </c>
      <c r="G67" t="inlineStr">
        <is>
          <t>BROMÖLLA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39455-2024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45551</v>
      </c>
      <c r="E68" s="1" t="n">
        <v>46291</v>
      </c>
      <c r="F68" t="inlineStr">
        <is>
          <t>SKÅNE LÄN</t>
        </is>
      </c>
      <c r="G68" t="inlineStr">
        <is>
          <t>BROMÖLLA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42333-2023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45180</v>
      </c>
      <c r="E69" s="1" t="n">
        <v>46291</v>
      </c>
      <c r="F69" t="inlineStr">
        <is>
          <t>SKÅNE LÄN</t>
        </is>
      </c>
      <c r="G69" t="inlineStr">
        <is>
          <t>BROMÖLLA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45235</v>
      </c>
      <c r="E70" s="1" t="n">
        <v>46291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46291</v>
      </c>
      <c r="F71" t="inlineStr">
        <is>
          <t>SKÅNE LÄN</t>
        </is>
      </c>
      <c r="G71" t="inlineStr">
        <is>
          <t>BROMÖLLA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44831</v>
      </c>
      <c r="E72" s="1" t="n">
        <v>46291</v>
      </c>
      <c r="F72" t="inlineStr">
        <is>
          <t>SKÅNE LÄN</t>
        </is>
      </c>
      <c r="G72" t="inlineStr">
        <is>
          <t>BROMÖLLA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46291</v>
      </c>
      <c r="F73" t="inlineStr">
        <is>
          <t>SKÅNE LÄN</t>
        </is>
      </c>
      <c r="G73" t="inlineStr">
        <is>
          <t>BROMÖLLA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46291</v>
      </c>
      <c r="F74" t="inlineStr">
        <is>
          <t>SKÅNE LÄN</t>
        </is>
      </c>
      <c r="G74" t="inlineStr">
        <is>
          <t>BROMÖLLA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46170</v>
      </c>
      <c r="E75" s="1" t="n">
        <v>46291</v>
      </c>
      <c r="F75" t="inlineStr">
        <is>
          <t>SKÅNE LÄN</t>
        </is>
      </c>
      <c r="G75" t="inlineStr">
        <is>
          <t>BROMÖLLA</t>
        </is>
      </c>
      <c r="I75" t="n">
        <v>13.5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46291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26477-2026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46183</v>
      </c>
      <c r="E77" s="1" t="n">
        <v>46291</v>
      </c>
      <c r="F77" t="inlineStr">
        <is>
          <t>SKÅNE LÄN</t>
        </is>
      </c>
      <c r="G77" t="inlineStr">
        <is>
          <t>BROMÖLLA</t>
        </is>
      </c>
      <c r="I77" t="n">
        <v>15.6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46291</v>
      </c>
      <c r="F78" t="inlineStr">
        <is>
          <t>SKÅNE LÄN</t>
        </is>
      </c>
      <c r="G78" t="inlineStr">
        <is>
          <t>BROMÖLLA</t>
        </is>
      </c>
      <c r="I78" t="n">
        <v>12.7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57181-2024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46291</v>
      </c>
      <c r="F79" t="inlineStr">
        <is>
          <t>SKÅNE LÄN</t>
        </is>
      </c>
      <c r="G79" t="inlineStr">
        <is>
          <t>BROMÖLLA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46291</v>
      </c>
      <c r="F80" t="inlineStr">
        <is>
          <t>SKÅNE LÄN</t>
        </is>
      </c>
      <c r="G80" t="inlineStr">
        <is>
          <t>BROMÖLLA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46291</v>
      </c>
      <c r="F81" t="inlineStr">
        <is>
          <t>SKÅNE LÄN</t>
        </is>
      </c>
      <c r="G81" t="inlineStr">
        <is>
          <t>BROMÖLLA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28129-2026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46195</v>
      </c>
      <c r="E82" s="1" t="n">
        <v>46291</v>
      </c>
      <c r="F82" t="inlineStr">
        <is>
          <t>SKÅNE LÄN</t>
        </is>
      </c>
      <c r="G82" t="inlineStr">
        <is>
          <t>BROMÖLLA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45148</v>
      </c>
      <c r="E83" s="1" t="n">
        <v>46291</v>
      </c>
      <c r="F83" t="inlineStr">
        <is>
          <t>SKÅNE LÄN</t>
        </is>
      </c>
      <c r="G83" t="inlineStr">
        <is>
          <t>BROMÖLLA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45233</v>
      </c>
      <c r="E84" s="1" t="n">
        <v>46291</v>
      </c>
      <c r="F84" t="inlineStr">
        <is>
          <t>SKÅNE LÄN</t>
        </is>
      </c>
      <c r="G84" t="inlineStr">
        <is>
          <t>BROMÖLLA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45174</v>
      </c>
      <c r="E85" s="1" t="n">
        <v>46291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46291</v>
      </c>
      <c r="F86" t="inlineStr">
        <is>
          <t>SKÅNE LÄN</t>
        </is>
      </c>
      <c r="G86" t="inlineStr">
        <is>
          <t>BROMÖLLA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44804</v>
      </c>
      <c r="E87" s="1" t="n">
        <v>46291</v>
      </c>
      <c r="F87" t="inlineStr">
        <is>
          <t>SKÅNE LÄN</t>
        </is>
      </c>
      <c r="G87" t="inlineStr">
        <is>
          <t>BROMÖLLA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46291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46291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46281</v>
      </c>
      <c r="E90" s="1" t="n">
        <v>46291</v>
      </c>
      <c r="F90" t="inlineStr">
        <is>
          <t>SKÅNE LÄN</t>
        </is>
      </c>
      <c r="G90" t="inlineStr">
        <is>
          <t>BROMÖLLA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46291</v>
      </c>
      <c r="F91" t="inlineStr">
        <is>
          <t>SKÅNE LÄN</t>
        </is>
      </c>
      <c r="G91" t="inlineStr">
        <is>
          <t>BROMÖLLA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46291</v>
      </c>
      <c r="F92" t="inlineStr">
        <is>
          <t>SKÅNE LÄN</t>
        </is>
      </c>
      <c r="G92" t="inlineStr">
        <is>
          <t>BROMÖLLA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46291</v>
      </c>
      <c r="F93" t="inlineStr">
        <is>
          <t>SKÅNE LÄN</t>
        </is>
      </c>
      <c r="G93" t="inlineStr">
        <is>
          <t>BROMÖLLA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46291</v>
      </c>
      <c r="F94" t="inlineStr">
        <is>
          <t>SKÅNE LÄN</t>
        </is>
      </c>
      <c r="G94" t="inlineStr">
        <is>
          <t>BROMÖLLA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46291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45415</v>
      </c>
      <c r="E96" s="1" t="n">
        <v>46291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45384</v>
      </c>
      <c r="E97" s="1" t="n">
        <v>46291</v>
      </c>
      <c r="F97" t="inlineStr">
        <is>
          <t>SKÅNE LÄN</t>
        </is>
      </c>
      <c r="G97" t="inlineStr">
        <is>
          <t>BROMÖLLA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46291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42909-2024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45566</v>
      </c>
      <c r="E99" s="1" t="n">
        <v>46291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45104</v>
      </c>
      <c r="E100" s="1" t="n">
        <v>46291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46291</v>
      </c>
      <c r="F101" t="inlineStr">
        <is>
          <t>SKÅNE LÄN</t>
        </is>
      </c>
      <c r="G101" t="inlineStr">
        <is>
          <t>BROMÖLLA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46291</v>
      </c>
      <c r="F102" t="inlineStr">
        <is>
          <t>SKÅNE LÄN</t>
        </is>
      </c>
      <c r="G102" t="inlineStr">
        <is>
          <t>BROMÖLLA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46291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46291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46291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46291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46291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46291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46291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46291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46291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46291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46291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46291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46291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46291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46291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46291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46291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46291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46291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2026-09-26T02:06:33Z</dcterms:created>
  <dcterms:modified xmlns:dcterms="http://purl.org/dc/terms/" xmlns:xsi="http://www.w3.org/2001/XMLSchema-instance" xsi:type="dcterms:W3CDTF">2026-09-26T02:06:33Z</dcterms:modified>
</cp:coreProperties>
</file>